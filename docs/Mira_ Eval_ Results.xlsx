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n" sheetId="1" r:id="rId5"/>
    <sheet state="visible" name="Summary" sheetId="2" r:id="rId6"/>
    <sheet state="visible" name="Known Limitations" sheetId="3" r:id="rId7"/>
    <sheet state="visible" name="Judge Calibration" sheetId="4" r:id="rId8"/>
    <sheet state="visible" name="Judge calibration Result" sheetId="5" r:id="rId9"/>
    <sheet state="visible" name="Test Set" sheetId="6" r:id="rId10"/>
    <sheet state="visible" name="Test Results" sheetId="7" r:id="rId11"/>
  </sheets>
  <definedNames/>
  <calcPr/>
</workbook>
</file>

<file path=xl/sharedStrings.xml><?xml version="1.0" encoding="utf-8"?>
<sst xmlns="http://schemas.openxmlformats.org/spreadsheetml/2006/main" count="912" uniqueCount="414">
  <si>
    <t>Run</t>
  </si>
  <si>
    <t>ID</t>
  </si>
  <si>
    <t>id</t>
  </si>
  <si>
    <t>Tests</t>
  </si>
  <si>
    <t>request</t>
  </si>
  <si>
    <t>Test</t>
  </si>
  <si>
    <t>Finding</t>
  </si>
  <si>
    <t>answer</t>
  </si>
  <si>
    <t>Passed</t>
  </si>
  <si>
    <t>human_score_1to5</t>
  </si>
  <si>
    <t>Severity</t>
  </si>
  <si>
    <t>human_pass_yes_no</t>
  </si>
  <si>
    <t>Pass rate</t>
  </si>
  <si>
    <t>Why it wasn’t caught by the check</t>
  </si>
  <si>
    <t>human_notes</t>
  </si>
  <si>
    <t>Mitigation in place</t>
  </si>
  <si>
    <t>J01</t>
  </si>
  <si>
    <t>Hallucinations</t>
  </si>
  <si>
    <t>KL-1</t>
  </si>
  <si>
    <t>Generate a risk assessment for the AI Adoption Project at ABCDE Ltd.</t>
  </si>
  <si>
    <t>T1</t>
  </si>
  <si>
    <t>Avg latency (ms)</t>
  </si>
  <si>
    <t>Intermittent: seen in Run 3, absent in Runs 4 and 5 (Run 2 output truncated). The plan states the project starts on 2026-04-10 and ends 2026-08-04 over 24 weeks. April 10 is the Phase 1 end date, not a start date, and the span is about 16 weeks.</t>
  </si>
  <si>
    <t>Judged tests</t>
  </si>
  <si>
    <t>Medium (wrong date in a client-facing plan)</t>
  </si>
  <si>
    <t>Risk relevance pass rate</t>
  </si>
  <si>
    <t>Score only checks that all 8 phase names are present, not the prose dates.</t>
  </si>
  <si>
    <t>Avg risk score</t>
  </si>
  <si>
    <t>The human approval step: the PM reads the plan before it is emailed.</t>
  </si>
  <si>
    <t>Avg cost per request</t>
  </si>
  <si>
    <t>KL-2</t>
  </si>
  <si>
    <t>Cost per 100 requests:</t>
  </si>
  <si>
    <t>T12</t>
  </si>
  <si>
    <t>Notes</t>
  </si>
  <si>
    <t>### Top Risks and Why
1. **R06 - Cost Overruns**: The task "Vendor evaluation for ML platform" (T009) is still to do, which may lead to underestimating costs.
2. **R03 - Talent &amp; Skills Gap**: The task "Staff training program" (T020) is still to do, indicating a lack of internal expertise.
3. **R01 - Data Quality &amp; Availability**: The task "Identify data gaps and quality issues" (T006) is in progress, highlighting potential data challenges.
4. **R05 - Ethical &amp; Legal Concerns**: The task "Legal review of data usage" (T025) is in progress, which may expose legal risks.
5. **R04 - Change Resistance**: The task "Staff training program" (T020) is still to do, which may lead to resistance in adopting AI workflows.</t>
  </si>
  <si>
    <t>Intermittent: seen in Run 3, absent in Runs 4 and 5 (Run 2 output truncated). The sprint update says "the project is on track, with no blocked items" while T024 is Blocked on the board (Sprint 5). The claim is true for Sprint 2 but overstated.</t>
  </si>
  <si>
    <t>yes</t>
  </si>
  <si>
    <t>Run 2 - gpt-4o-mini - after Orchestrator fix</t>
  </si>
  <si>
    <t>this answers the question</t>
  </si>
  <si>
    <t>Low to Medium (tone and overclaim)</t>
  </si>
  <si>
    <t>Score only checks that the right Sprint 2 tasks appear and that no Sprint 3+ tasks do.</t>
  </si>
  <si>
    <t>J02</t>
  </si>
  <si>
    <t>The human approval step. Also, the update is scoped to Sprint 2 by design.</t>
  </si>
  <si>
    <t>What are the top 3 risks for the ABCDE Ltd project based on the risk data?</t>
  </si>
  <si>
    <t>KL-3</t>
  </si>
  <si>
    <t>T8</t>
  </si>
  <si>
    <t>1. **Risk ID:** R05
   **Category:** Cost Overruns
   **Impact:** Budget constraints and project delays
   **Mitigation:** Set realistic budget and build in contingency funds
   **Reason:** The task T009 (Vendor evaluation for ML platform) is still to do.
2. **Risk ID:** R06
   **Category:** Ethical &amp; Legal Concerns
   **Impact:** Legal repercussions and reputational damage
   **Mitigation:** Involve legal early and implement fairness checks
   **Reason:** The task T025 (Legal review of data usage) is in progress.
3. **Risk ID:** R01
   **Category:** Data Quality &amp; Availability
   **Impact:** Poor model performance and inaccurate outcomes
   **Mitigation:** Perform early data audits and implement robust data governance
   **Reason:** The task T006 (Identify data gaps and quality issues) is in progress.</t>
  </si>
  <si>
    <t>T006 (In Progress, due 2026-04-21) is not listed. It falls under “Watch” per the rule (In Progress due within 7 days), not “At risk”.</t>
  </si>
  <si>
    <t>Low (rule-consistent, but a reader might expect it)</t>
  </si>
  <si>
    <t>no</t>
  </si>
  <si>
    <t>wrong categorization</t>
  </si>
  <si>
    <t>The expected list follows the at-risk rule, so the test passes.</t>
  </si>
  <si>
    <t>J03</t>
  </si>
  <si>
    <t>Document the Watch category. Optionally add it to the prompt later.</t>
  </si>
  <si>
    <t>The top three risks are R01, R05 and R06.</t>
  </si>
  <si>
    <t>KL-4</t>
  </si>
  <si>
    <t>T11</t>
  </si>
  <si>
    <t>No</t>
  </si>
  <si>
    <t>No details</t>
  </si>
  <si>
    <t>Run 2 listed the 2026-05-05 milestone inside the 14-day window, which was wrong. The check was a false pass. It was fixed with a stricter check and a prompt rule in Run 3.</t>
  </si>
  <si>
    <t>Resolved</t>
  </si>
  <si>
    <t>J04</t>
  </si>
  <si>
    <t>The original check only looked for the two required deliverables.</t>
  </si>
  <si>
    <t>Fixed in Run 3. Keep the Run 2 row as evidence.</t>
  </si>
  <si>
    <t>KL-5</t>
  </si>
  <si>
    <t>All</t>
  </si>
  <si>
    <t>1. **Risk ID:** R01
   **Category:** Data Quality &amp; Availability
   **Impact:** Poor model performance and inaccurate outcomes
   **Mitigation:** Perform early data audits and implement robust data governance
   **Reason:** The task T006 (Identify data gaps and quality issues) is in progress, highlighting potential data quality challenges.
2. **Risk ID:** R06
   **Category:** Cost Overruns
   **Impact:** Budget constraints and project delays
   **Mitigation:** Set realistic budget and build in contingency funds
   **Reason:** The task T009 (Vendor evaluation for ML platform) is still to do, which may lead to underestimating costs.
3. **Risk ID:** R11
   **Category:** Supply Chain Disruption
   **Impact:** Delayed deliveries across the network
   **Mitigation:** Add backup suppliers
   **Reason:** Supplier outages could delay the pilot.</t>
  </si>
  <si>
    <t>Scoring is by code heuristics (IDs, counts, route, required phrases). It cannot judge the accuracy of the prose, which is how KL-1 and KL-2 got through.</t>
  </si>
  <si>
    <t>Design limitation</t>
  </si>
  <si>
    <t>n/a</t>
  </si>
  <si>
    <t>bit of manfacutured risk, halliculation</t>
  </si>
  <si>
    <t>Risk relevance is judged by an LLM. Everything else relies on human review before sending.</t>
  </si>
  <si>
    <t>J05</t>
  </si>
  <si>
    <t>KL-6</t>
  </si>
  <si>
    <t>T3, T7</t>
  </si>
  <si>
    <t>1. **Risk ID:** R06
   **Category:** Cost Overruns
   **Impact:** Budget constraints and project delays
   **Mitigation:** Set realistic budget and build in contingency funds
   **Reason:** Every project can run over budget.
2. **Risk ID:** R07
   **Category:** Unrealistic Expectations
   **Impact:** Disillusionment and loss of support
   **Mitigation:** Align expectations and show quick wins
   **Reason:** Stakeholders in any project may expect too much.
3. **Risk ID:** R04
   **Category:** Change Resistance
   **Impact:** Low adoption and reduced ROI
   **Mitigation:** Strong change management and early engagement
   **Reason:** People can resist change in any organisation.</t>
  </si>
  <si>
    <t>The judge scores register fit, not reasoning quality. Run 5 T3 scored 5 although the R04 justification cites a task that does not exist (“implied but not explicitly listed”). Run 4 T3 linked R06 (Cost Overruns) to the blocked security task T024, which relates to security (R09), not cost, yet the judge still scored it 5</t>
  </si>
  <si>
    <t>Low to Medium (weak justifications pass)</t>
  </si>
  <si>
    <t xml:space="preserve">reasons doesn't make sense </t>
  </si>
  <si>
    <t>The judge rubric and the unsupported-items check look at risk IDs and categories, not at the task links in the “why” text.</t>
  </si>
  <si>
    <t>The human approval step. Optional future check: verify every task ID in the justification against the task board.</t>
  </si>
  <si>
    <t>J06</t>
  </si>
  <si>
    <t>KL-7</t>
  </si>
  <si>
    <t>1. **Risk ID:** R09
   **Category:** Security Vulnerabilities
   **Impact:** Data breaches and operational risks
   **Mitigation:** Adopt AI security best practices and penetration testing
   **Reason:** The task T024 (Security review of AI infrastructure) is blocked, leaving security exposure unaddressed.
2. **Risk ID:** R10
   **Category:** Vendor Lock-in
   **Impact:** Flexibility loss and future switching costs
   **Mitigation:** Favor open standards and negotiate flexible vendor terms
   **Reason:** The task T009 (Vendor evaluation for ML platform) is still to do, so platform dependence is not yet assessed.
3. **Risk ID:** R01
   **Category:** Data Quality &amp; Availability
   **Impact:** Poor model performance and inaccurate outcomes
   **Mitigation:** Perform early data audits and implement robust data governance
   **Reason:** The task T006 (Identify data gaps and quality issues) is in progress, so data quality is not yet confirmed.</t>
  </si>
  <si>
    <t>Model comparison not run. gpt-4.1-mini is blocked on the project’s OpenAI allow-list (403, project proj_mxTN…), in both n8n and Langfuse. The writer, the code-scored judge, and the Langfuse evaluator all run on gpt-4o-mini, so the judge is the same model family as the writer (self-preference risk).</t>
  </si>
  <si>
    <t>Not a test failure. A platform access restriction.</t>
  </si>
  <si>
    <t>Answer is in tuned with the groundtruth</t>
  </si>
  <si>
    <t>run_label</t>
  </si>
  <si>
    <t>The calibration test (fake R11 scored 2 after rule 8) and the human approval step. Next step: ask the project owner to allow a second model, or add a second provider (it needs a BRD line, since OpenAI is the approved provider).</t>
  </si>
  <si>
    <t>J07</t>
  </si>
  <si>
    <t>KL-8</t>
  </si>
  <si>
    <t>T3, T7 (risk judge)</t>
  </si>
  <si>
    <t>The judge catches register-fit defects but passes IDs-only answers, generic reasons and wrong task links</t>
  </si>
  <si>
    <t>Medium (judge validated for register fit only)</t>
  </si>
  <si>
    <t>1. **Risk ID:** R01
   **Category:** Data Quality &amp; Availability
   **Impact:** Poor model performance and inaccurate outcomes
   **Mitigation:** Perform early data audits and implement robust data governance
   **Reason:** The task T030 (Data lake migration) is delayed, which threatens data quality.
2. **Risk ID:** R05
   **Category:** Ethical &amp; Legal Concerns
   **Impact:** Legal repercussions and reputational damage
   **Mitigation:** Involve legal early and implement fairness checks
   **Reason:** The task T031 (GDPR audit) is blocked, so legal exposure is open.
3. **Risk ID:** R06
   **Category:** Cost Overruns
   **Impact:** Budget constraints and project delays
   **Mitigation:** Set realistic budget and build in contingency funds
   **Reason:** The task T032 (Budget re-forecast) is overdue, which may hide cost overruns.</t>
  </si>
  <si>
    <t>Earlier runs were 12/12 on good answers, and a lenient judge looks identical to a good one.</t>
  </si>
  <si>
    <t>The human approval step. Judge v2 was evaluated offline and recommended, but it is not deployed in Mira Eval. Runs 2 to 5 used v1. Code ID checks, judge-on-the-board and fine-tuning are listed as future work.</t>
  </si>
  <si>
    <t>Manfautured data, halliculation</t>
  </si>
  <si>
    <t>KL-9</t>
  </si>
  <si>
    <t>J08</t>
  </si>
  <si>
    <t>Judge v2 rule 9 misfires: it lists real task IDs (for example T006, T009, T024) as unsupported and fails good answers (K07, L03, L05). Rule 10 (IDs only) had no effect: K08 scored 5 in both versions.</t>
  </si>
  <si>
    <t>Low to Medium (causes extra human review, blocks nothing)</t>
  </si>
  <si>
    <t>1. **Risk ID:** R01
   **Category:** Data Quality &amp; Availability
   **Impact:** Poor model performance and inaccurate outcomes
   **Mitigation:** Buy additional office chairs
   **Reason:** The task T006 (Identify data gaps and quality issues) is in progress.
2. **Risk ID:** R03
   **Category:** Talent &amp; Skills Gap
   **Impact:** Overreliance on external vendors and slow progress
   **Mitigation:** Schedule a team lunch
   **Reason:** Staff may lack AI expertise.
3. **Risk ID:** R09
   **Category:** Security Vulnerabilities
   **Impact:** Data breaches and operational risks
   **Mitigation:** Repaint the warehouse
   **Reason:** The task T024 (Security review of AI infrastructure) is blocked.</t>
  </si>
  <si>
    <t>The judge has no copy of the task board, and the model does not apply rules 9 and 10 reliably.</t>
  </si>
  <si>
    <t>Task-ID and completeness checks belong in code (planned). The human approval step already reviews every answer.</t>
  </si>
  <si>
    <t>Mitigation plan is not in consistent with the groundtruth</t>
  </si>
  <si>
    <t>KL-10</t>
  </si>
  <si>
    <t>J09</t>
  </si>
  <si>
    <t>Chat, approval email</t>
  </si>
  <si>
    <t>Underscores in file names (for example project_timeline.csv) were turned into italics in the approved email, because the Markdown-to-HTML step treated the underscores as emphasis</t>
  </si>
  <si>
    <t>Low (display only)</t>
  </si>
  <si>
    <t>### Top Risks and Why
1. **R06 - Cost Overruns**: The task "Vendor evaluation for ML platform" (T009) is still to do, which may lead to underestimating costs.
2. **R01 - Data Quality &amp; Availability**: The task "Identify data gaps and quality issues" (T006) is in progress, indicating potential data quality challenges.
3. **R05 - Ethical &amp; Legal Concerns**: The task "Legal review of data usage" (T025) is in progress, highlighting the need to address legal risks early.
4. **R03 - Talent &amp; Skills Gap**: The task "Staff training program" (T020) is to do, which suggests a current lack of internal expertise.
5. **R04 - Change Resistance**: The task "Strong change management and early engagement" is implied but not explicitly listed, indicating a need for proactive measures.</t>
  </si>
  <si>
    <t>The eval workflow tests the draft text. It does not render the approved email.</t>
  </si>
  <si>
    <t>Fixed on 2026-10-22 with the “Middle Word Underscores” option on the To HTML node. Confirmed in the approved email.</t>
  </si>
  <si>
    <t>R04 is listed not implied, wrong assumption, halliculation</t>
  </si>
  <si>
    <t>J10</t>
  </si>
  <si>
    <t>1. **Risk ID:** R06
   **Category:** Cost Overruns
   **Impact:** Budget constraints and project delays
   **Mitigation:** Set realistic budget and build in contingency funds
   **Reason:** The task T010 (Collect historical demand data) is still to do, which may lead to underestimating AI development costs.
2. **Risk ID:** R01
   **Category:** Data Quality &amp; Availability
   **Impact:** Poor model performance and inaccurate outcomes
   **Mitigation:** Perform early data audits and implement robust data governance
   **Reason:** The task T006 (Identify data gaps and quality issues) is in progress, highlighting potential data quality challenges.
3. **Risk ID:** R05
   **Category:** Ethical &amp; Legal Concerns
   **Impact:** Legal repercussions and reputational damage
   **Mitigation:** Involve legal early and implement fairness checks
   **Reason:** The task T025 (Legal review of data usage) is in progress, indicating ongoing concerns about data ethics and compliance.</t>
  </si>
  <si>
    <t>testId</t>
  </si>
  <si>
    <t>answers is consistent to groundtrutjh</t>
  </si>
  <si>
    <t>J11</t>
  </si>
  <si>
    <t>1. **Risk ID:** R01
   **Category:** Data Quality &amp; Availability
   **Impact:** Poor model performance and inaccurate outcomes
   **Mitigation:** Perform early data audits and implement robust data governance
   **Reason:** The task T006 (Identify data gaps and quality issues) is in progress, highlighting potential data quality challenges.
2. **Risk ID:** R06
   **Category:** Cost Overruns
   **Impact:** Budget constraints and project delays
   **Mitigation:** Set realistic budget and build in contingency funds
   **Reason:** The task T009 (Vendor evaluation for ML platform) is still to do, which may lead to underestimating costs.
3. **Risk:** Driver shortage in the delivery fleet
   **Impact:** Delayed deliveries during the pilot
   **Mitigation:** Agree backup driver capacity with the fleet team
   **Reason:** Pilot routes depend on available drivers.</t>
  </si>
  <si>
    <t>3 risk is not in tune to the groundtruth, hallicullation</t>
  </si>
  <si>
    <t>J12</t>
  </si>
  <si>
    <t>1. **Risk:** Office relocation
   **Impact:** Staff disruption during the move
   **Mitigation:** Hire a moving company and set a move date
   **Reason:** The relocation may distract the team.
2. **Risk:** Staff holiday clashes
   **Impact:** Fewer people available in August
   **Mitigation:** Publish a holiday calendar early
   **Reason:** Several people may take leave together.
3. **Risk:** Printer budget overrun
   **Impact:** Higher stationery costs
   **Mitigation:** Switch to a cheaper printer contract
   **Reason:** Printing costs have risen.</t>
  </si>
  <si>
    <t>no risk id, the risks does not exit, halliculation</t>
  </si>
  <si>
    <t>J13</t>
  </si>
  <si>
    <t>passed</t>
  </si>
  <si>
    <t>### Top Risks and Why
1. **R06 - Cost Overruns**: The task of setting a realistic budget and building in contingency funds is crucial, especially as the project progresses and costs may be underestimated (T024 - Security review of AI infrastructure is blocked).
2. **R05 - Ethical &amp; Legal Concerns**: The ongoing legal review of data usage (T025) highlights the importance of addressing potential legal repercussions and reputational damage.
3. **R01 - Data Quality &amp; Availability**: The task of identifying data gaps and quality issues (T006) is currently in progress, which directly relates to the risk of incomplete or unstructured data affecting model performance.</t>
  </si>
  <si>
    <t>answer is consistent with groundtruth but not very clear</t>
  </si>
  <si>
    <t>hallucination</t>
  </si>
  <si>
    <t>J14</t>
  </si>
  <si>
    <t>route</t>
  </si>
  <si>
    <t>1. **Risk ID:** R07
   **Category:** Unrealistic Expectations
   **Impact:** Disillusionment and loss of support
   **Mitigation:** Align expectations and show quick wins
   **Reason:** The task T008 (Define success criteria for each use case) is flagged At risk, which can leave stakeholders with unclear expectations.
2. **Risk ID:** R05
   **Category:** Ethical &amp; Legal Concerns
   **Impact:** Legal repercussions and reputational damage
   **Mitigation:** Involve legal early and implement fairness checks
   **Reason:** The task T025 (Legal review of data usage) is in progress, so legal exposure remains open.
3. **Risk ID:** R06
   **Category:** Cost Overruns
   **Impact:** Budget constraints and project delays
   **Mitigation:** Set realistic budget and build in contingency funds
   **Reason:** The task T009 (Vendor evaluation for ML platform) is still to do, so platform costs are not yet known.</t>
  </si>
  <si>
    <t>model</t>
  </si>
  <si>
    <t>Answer in tunded with groundth</t>
  </si>
  <si>
    <t>latencyMs</t>
  </si>
  <si>
    <t>promptTokens</t>
  </si>
  <si>
    <t>completionTokens</t>
  </si>
  <si>
    <t>traceId</t>
  </si>
  <si>
    <t>output</t>
  </si>
  <si>
    <t>fullOutput</t>
  </si>
  <si>
    <t>riskRelevanceScore</t>
  </si>
  <si>
    <t>riskRelevancePass</t>
  </si>
  <si>
    <t>riskRelevanceReason</t>
  </si>
  <si>
    <t>unsupportedItems</t>
  </si>
  <si>
    <t>judgeModel</t>
  </si>
  <si>
    <t>judgeTokens</t>
  </si>
  <si>
    <t>plan</t>
  </si>
  <si>
    <t>gpt-4o-mini-2024-07-18</t>
  </si>
  <si>
    <t>185b2e70b3ecfcb2300ce71874d9e979</t>
  </si>
  <si>
    <t># AI Adoption Project Plan for ABCDE Ltd.
## Project Summary
ABCDE Ltd., a mid-sized enterprise specializing in logistics and supply chain solutions, is initiating an AI adoption project aimed at enhancing operational efficiency, improving customer experience, and driving data-driven decision-makin</t>
  </si>
  <si>
    <t>$0.000319</t>
  </si>
  <si>
    <t>$0.032</t>
  </si>
  <si>
    <t>T11 false pass (extra 2026-05-05 milestone in window). Check tightened.</t>
  </si>
  <si>
    <t>Run 3 - gpt-4o-mini - T11 prompt fix</t>
  </si>
  <si>
    <t>T2</t>
  </si>
  <si>
    <t>clarify</t>
  </si>
  <si>
    <t>346663edcd53057dd38af84708c5dd79</t>
  </si>
  <si>
    <t>This request does not have enough detail. To build a plan I need: the project scope, the goals, the deliverables, the timeline and the team size.</t>
  </si>
  <si>
    <t>T3</t>
  </si>
  <si>
    <t>risk</t>
  </si>
  <si>
    <t>5b43e1fc1846f8fff262ab89bd07322b</t>
  </si>
  <si>
    <t>| Risk ID | Category                       | Risk Challenge                                   | Impact                                         | Mitigation Strategy                                      |
|---------|--------------------------------|-------------------------------------------------|--</t>
  </si>
  <si>
    <t>T4</t>
  </si>
  <si>
    <t>$0.000318</t>
  </si>
  <si>
    <t>T11 fixed with a prompt rule and a stricter check. 12/12.</t>
  </si>
  <si>
    <t>Run 4 - gpt-4o-mini - with risk judge</t>
  </si>
  <si>
    <t>8b24e61e5b44d5a3998b996c671fd4b4</t>
  </si>
  <si>
    <t>This request does not have enough detail. To assess risks I need: the project description or scope, the timeline, the domain or technology, and the team or stakeholders.</t>
  </si>
  <si>
    <t>T5</t>
  </si>
  <si>
    <t>status</t>
  </si>
  <si>
    <t>178b20128f944acd14342b3d77e4ff7b</t>
  </si>
  <si>
    <t>**Weekly Status Report**
**As-of Date:** 2026-04-20  
**Overall Health:** Amber - There are two tasks marked as "To Do," and one task is flagged "At risk."  
**Counts by Status:**  
Done: 0  
In Progress: 2  
To Do: 2  
Blocked: 0  
Total: 4  
**Tasks Grouped by Status:**  
**In Progress:**  
- T</t>
  </si>
  <si>
    <t>T6</t>
  </si>
  <si>
    <t>$0.000315</t>
  </si>
  <si>
    <t>Risk-relevance judge added (T3, T7). Langfuse evaluator agrees, 5/5.</t>
  </si>
  <si>
    <t>Run 5 - gpt-4o-mini - stricter judge</t>
  </si>
  <si>
    <t>b9a0006b6aaf4cbb6061fa5be62d22cc</t>
  </si>
  <si>
    <t>This request does not have enough detail. No task data is available for this request, so I cannot report status. Please share the task board export (CSV) or a task list with statuses.</t>
  </si>
  <si>
    <t>judge_score</t>
  </si>
  <si>
    <t>judge_pass</t>
  </si>
  <si>
    <t>judge_reason</t>
  </si>
  <si>
    <t>unsupported</t>
  </si>
  <si>
    <t>human_score</t>
  </si>
  <si>
    <t>human_pass</t>
  </si>
  <si>
    <t>T7</t>
  </si>
  <si>
    <t>agree_pass_fail</t>
  </si>
  <si>
    <t>within_1</t>
  </si>
  <si>
    <t>summary</t>
  </si>
  <si>
    <t>Several risks are relevant, but there is some generic wording and overlap in tasks mentioned.</t>
  </si>
  <si>
    <t>b48025351e84030869d44e14422426a5</t>
  </si>
  <si>
    <t>1. **Risk ID:** R06  
   **Category:** Cost Overruns  
   **Impact:** Budget constraints and project delays  
   **Mitigation:** Set realistic budget and build in contingency funds  
   **Reason:** The task T010 (Collect historical demand data) is still to do, which may lead to underestimating AI de</t>
  </si>
  <si>
    <t>milestones</t>
  </si>
  <si>
    <t>$0.00032</t>
  </si>
  <si>
    <t>$0.03</t>
  </si>
  <si>
    <t>Judge rule 8 added. Calibration: fake R11 scored 3 and 4 before and 2 and 2 after. Real answers stayed at 5, and the Langfuse evaluator agrees.</t>
  </si>
  <si>
    <t>Note: The 4 clarify tests (T2, T4, T6, T9) have no latency</t>
  </si>
  <si>
    <t>Note:  Calculated from tokens (Runs 2 to 4), measured in Langfuse (Run 5). Judge calls excluded.</t>
  </si>
  <si>
    <t>839c9cb3fe335f54e90acfa76a5b3f5c</t>
  </si>
  <si>
    <t>Here are the flagged tasks that are blocked or at risk:
1. **Blocked Task**
   - **Task ID:** T024
   - **Task Name:** Security review of AI infrastructure
   - **Status:** Blocked
   - **Due Date:** 2026-05-26
   - **Flag:** Blocked
   - **Reason:** Waiting for security team availability
   - **Su</t>
  </si>
  <si>
    <t>Items</t>
  </si>
  <si>
    <t>Risk IDs R05 and R06 are incorrectly categorized and do not match the descriptions in the risk register.</t>
  </si>
  <si>
    <t>R05; R06</t>
  </si>
  <si>
    <t xml:space="preserve">   </t>
  </si>
  <si>
    <t>T9</t>
  </si>
  <si>
    <t>Pass/fail agreement</t>
  </si>
  <si>
    <t>64ca21fcf24746aced06f4a42305ec9a</t>
  </si>
  <si>
    <t>T10</t>
  </si>
  <si>
    <t>All selected risks are present in the register and relevant to the AI Adoption Project.</t>
  </si>
  <si>
    <t>847f6366c535f85a3ffa221bda97f120</t>
  </si>
  <si>
    <t>Within ±1 on score</t>
  </si>
  <si>
    <t>Done 5, In Progress 3, To Do 16, Blocked 1, Total 25. The Blocked task is T024: Security review of AI infrastructure.
As-of date: 2026-04-20. Sources: project_description.txt, project_timeline.csv, project_risks.csv, sample_task_board.csv.</t>
  </si>
  <si>
    <t>Risk ID R11 is unrelated to AI adoption and logistics as it pertains to supply chain disruption without a direct link to the project's focus.</t>
  </si>
  <si>
    <t>R11</t>
  </si>
  <si>
    <t>False passes (judge pass, human fail)</t>
  </si>
  <si>
    <t>5cf458b39a4a4b913bb0de4642759807</t>
  </si>
  <si>
    <t>The upcoming milestones in the next 2 weeks are:
1. Current systems audit report - Due by 2026-04-21
2. Gap analysis report - Due by 2026-04-21
3. Final list of prioritized use cases with success criteria - Due by 2026-05-05
As-of date: 2026-04-20. Sources: project_description.txt, project_timelin</t>
  </si>
  <si>
    <t>All risks and mitigations are relevant to the project and included in the risk register.</t>
  </si>
  <si>
    <t>False fails (judge fail, human pass)</t>
  </si>
  <si>
    <t>b082ab04711a3dfdf71b5370686c3e1a</t>
  </si>
  <si>
    <t>Subject: Sprint 2 Progress Update - ABCDE Ltd. AI Adoption Project
Dear Stakeholders,
As of April 20, 2026, I am pleased to provide you with an update on the progress of Sprint 2 for the ABCDE Ltd. AI Adoption Project.
**Progress by Task:**
- **T004: Audit existing data infrastructure** - Status:</t>
  </si>
  <si>
    <t>All risks and mitigations are relevant and found in the risk register.</t>
  </si>
  <si>
    <t>3d9b0efa2cd3b9cfbf5fdf4317a5e4e6</t>
  </si>
  <si>
    <t># AI Adoption Project Plan for ABCDE Ltd.
## Project Summary
ABCDE Ltd., a mid-sized enterprise specializing in logistics and supply chain solutions, is initiating an AI adoption project aimed at enhancing operational efficiency, improving customer experience, and driving data-driven decision-making. The project will integrate AI-powered tools into core business functions such as demand forecasting, route optimization, inventory management, and customer support. The initiative will be executed in phases, starting with an assessment of current workflows and data infrastructure, followed by pilot implementations in targeted departments.
## Goals
- Reduce delivery delays by 15%
- Lower operational costs by 10%
- Improve service responsiveness
## Phases Table
| Phase                     | Weeks  | Key Activities                                           | Milestones                                           | End Date    |
|---------------------------|--------|---------------------------------------------------------|-----------------------------------------------------|-------------|
| Project Initiation        | 1-2    | Define project scope; Form cross-functional team; Initial stakeholder meeting | Project charter signed off; Team structure finalized | 2026-04-10  |
| Current State Analysis     | 3-4    | Assess existing processes &amp; systems; Identify data sources &amp; gaps | Current systems audit report; Gap analysis report    | 2026-04-21  |
| Use Case Selection        | 5-6    | Shortlist priority AI use cases (forecasting, route optimization) | Final list of prioritized use cases with success criteria | 2026-05-05  |
| Pilot Design              | 7-10   | Data collection &amp; preparation; Model design and development | Working prototype models; Data pipelines established  | 2026-06-02  |
| Pilot Implementation       | 11-14  | Deploy AI models in test environments; Monitor performance | Pilot results report; User feedback and performance metrics | 2026-06-16  |
| Evaluation &amp; Iteration    | 15-16  | Evaluate pilot outcomes; Adjust models as needed        | Updated models and process refinements               | 2026-06-30  |
| Full Deployment           | 17-22  | Scale AI models across selected departments; Train staff | Full production rollout; Training sessions completed  | 2026-07-21  |
| Monitoring &amp; Review       | 23-24  | Continuous performance monitoring; Final project review  | Project closure report; Recommendations for future scaling | 2026-08-04  |
## Timeline Overview
The project will span a total of 24 weeks, starting from April 10, 2026, and concluding on August 4, 2026. Each phase is designed to build upon the previous one, ensuring a structured approach to AI adoption.
## Assumptions and Gaps
- Proposed, not in source: Specific team sizes and roles for the cross-functional task force.
- Proposed, not in source: Detailed budget allocation for each phase of the project.
## Sources
- Project description provided by ABCDE Ltd.
As-of date: 2026-04-20. Sources: project_description.txt, project_timeline.csv, project_risks.csv, sample_task_board.csv.</t>
  </si>
  <si>
    <t>d4dbdb6a3e4b4d05bc4562dc438fe93a</t>
  </si>
  <si>
    <t>Cohen’s kappa</t>
  </si>
  <si>
    <t>7a48c39a830e2af448bff2f204345583</t>
  </si>
  <si>
    <t>| Risk ID | Category                       | Risk Challenge                                   | Impact                                         | Mitigation Strategy                                      |
|---------|--------------------------------|-------------------------------------------------|------------------------------------------------|---------------------------------------------------------|
| R01     | Data Quality &amp; Availability    | Incomplete or unstructured data                 | Poor model performance and inaccurate outcomes  | Perform early data audits and implement robust data governance |
| R02     | Integration Issues             | Difficulty integrating AI with legacy systems    | Delays in deployment and operational disruptions | Plan integration roadmap and use APIs/middleware        |
| R03     | Talent &amp; Skills Gap            | Lack of internal AI/ML expertise                 | Overreliance on external vendors and slow progress | Provide staff training and hire specialized talent      |
| R04     | Change Resistance              | Employees resist adopting AI-driven workflows     | Low adoption and reduced ROI                   | Strong change management and early engagement           |
| R05     | Ethical &amp; Legal Concerns       | Risks of biased models or data privacy violations | Legal repercussions and reputational damage     | Involve legal early and implement fairness checks       |
| R06     | Cost Overruns                  | Underestimation of AI development costs          | Budget constraints and project delays          | Set realistic budget and build in contingency funds     |
| R07     | Unrealistic Expectations       | Stakeholders expect immediate ROI                | Disillusionment and loss of support            | Align expectations and show quick wins                  |
| R08     | Model Performance Drift        | AI models lose accuracy over time                | Incorrect decisions and trust erosion           | Regular retraining cycles and monitoring dashboards      |
| R09     | Security Vulnerabilities        | AI models targeted by adversarial attacks        | Data breaches and operational risks            | Adopt AI security best practices and penetration testing |
| R10     | Vendor Lock-in                 | Overdependence on a specific AI platform        | Flexibility loss and future switching costs    | Favor open standards and negotiate flexible vendor terms |
### Top Risks and Why
1. **R06 - Cost Overruns**: The task "Vendor evaluation for ML platform" (T009) is still to do, which may lead to underestimating costs.
2. **R03 - Talent &amp; Skills Gap**: The task "Staff training program" (T020) is still to do, indicating a lack of internal expertise.
3. **R01 - Data Quality &amp; Availability**: The task "Identify data gaps and quality issues" (T006) is in progress, highlighting potential data challenges.
4. **R05 - Ethical &amp; Legal Concerns**: The task "Legal review of data usage" (T025) is in progress, which may expose legal risks.
5. **R04 - Change Resistance**: The task "Staff training program" (T020) is still to do, which may lead to resistance in adopting AI workflows.
### Sources
- Risks and mitigation strategies were derived from the provided risk list.
- Task statuses were referenced from the provided task list.
As-of date: 2026-04-20. Sources: project_description.txt, project_timeline.csv, project_risks.csv, sample_task_board.csv.</t>
  </si>
  <si>
    <t>cbb74a04f390117f352c6a2b54436c26</t>
  </si>
  <si>
    <t>63913ba29f138820e589d9c1aa1dd3e8</t>
  </si>
  <si>
    <t>**Weekly Status Report**
**As-of Date:** 2026-04-20  
**Overall Health:** Amber - There are two tasks marked as "To Do," and one task is flagged "At risk."  
**Counts by Status:**  
- Done: 0  
- In Progress: 2  
- To Do: 2  
- Blocked: 0  
- Total: 4  
**Tasks Grouped by Status:**  
**In Progres</t>
  </si>
  <si>
    <t>**Weekly Status Report**
**As-of Date:** 2026-04-20  
**Overall Health:** Amber - There are two tasks marked as "To Do," and one task is flagged "At risk."  
**Counts by Status:**  
- Done: 0  
- In Progress: 2  
- To Do: 2  
- Blocked: 0  
- Total: 4  
**Tasks Grouped by Status:**  
**In Progress:**  
- T007: Shortlist AI use cases  
- T025: Legal review of data usage  
**To Do:**  
- T008: Define success criteria for each use case  
- T009: Vendor evaluation for ML platform  
**Blocked Items:**  
- None  
**Upcoming Milestones:**  
- Current State Analysis (Due: 2026-04-21)  
  - Activities: Assess existing processes &amp; systems; Identify data sources &amp; gaps  
  - Milestones: Current systems audit report; Gap analysis report  
**Risks or Actions Needed:**  
- T008: Define success criteria for each use case is flagged "At risk" and needs attention to ensure timely completion.  
---  
This concludes the weekly status report.
As-of date: 2026-04-20. Sources: project_description.txt, project_timeline.csv, project_risks.csv, sample_task_board.csv.</t>
  </si>
  <si>
    <t>ed7cbc8638e475422f732e8e709e0d6a</t>
  </si>
  <si>
    <t>b4120701d48f0c4a1189ed45b360b890</t>
  </si>
  <si>
    <t>All risks and mitigations are relevant and directly aligned with the project and the risk register.</t>
  </si>
  <si>
    <t>1. **Risk ID:** R06  
   **Category:** Cost Overruns  
   **Impact:** Budget constraints and project delays  
   **Mitigation:** Set realistic budget and build in contingency funds  
   **Reason:** The task T010 (Collect historical demand data) is still to do, which may lead to underestimating AI development costs.
2. **Risk ID:** R01  
   **Category:** Data Quality &amp; Availability  
   **Impact:** Poor model performance and inaccurate outcomes  
   **Mitigation:** Perform early data audits and implement robust data governance  
   **Reason:** The task T006 (Identify data gaps and quality issues) is in progress, highlighting potential data quality challenges.
3. **Risk ID:** R05  
   **Category:** Ethical &amp; Legal Concerns  
   **Impact:** Legal repercussions and reputational damage  
   **Mitigation:** Involve legal early and implement fairness checks  
   **Reason:** The task T025 (Legal review of data usage) is in progress, indicating ongoing concerns about data ethics and compliance.
As-of date: 2026-04-20. Sources: project_description.txt, project_timeline.csv, project_risks.csv, sample_task_board.csv.</t>
  </si>
  <si>
    <t>eabb14b15a66e3920829d37f0e0ff7c5</t>
  </si>
  <si>
    <t>1. **Blocked Tasks:**
   - **Task ID:** T024
     - **Name:** Security review of AI infrastructure
     - **Status:** Blocked
     - **Due Date:** 2026-05-26
     - **Flag:** Blocked
     - **Reason:** waiting for security team availability
     - **Suggested Action:** Follow up with the security te</t>
  </si>
  <si>
    <t>1. **Blocked Tasks:**
   - **Task ID:** T024
     - **Name:** Security review of AI infrastructure
     - **Status:** Blocked
     - **Due Date:** 2026-05-26
     - **Flag:** Blocked
     - **Reason:** waiting for security team availability
     - **Suggested Action:** Follow up with the security team to confirm availability and expedite the review process.
2. **At Risk Tasks:**
   - **Task ID:** T008
     - **Name:** Define success criteria for each use case
     - **Status:** To Do
     - **Due Date:** 2026-05-02
     - **Flag:** At risk
     - **Reason:** 12 days to due
     - **Suggested Action:** Prioritize this task to ensure success criteria are defined before the deadline.
As-of date: 2026-04-20. Sources: project_description.txt, project_timeline.csv, project_risks.csv, sample_task_board.csv.</t>
  </si>
  <si>
    <t>f86ea517d9c39c0adbb799fed07c101c</t>
  </si>
  <si>
    <t>6168039fbf07ec8e5d35d76534699320</t>
  </si>
  <si>
    <t>Done 5, In Progress 3, To Do 16, Blocked 1, Total 25. Blocked task: T024 Security review of AI infrastructure.
As-of date: 2026-04-20. Sources: project_description.txt, project_timeline.csv, project_risks.csv, sample_task_board.csv.</t>
  </si>
  <si>
    <t>900a4b569255b8bfdbec527d6fb9cf8c</t>
  </si>
  <si>
    <t>Milestones in the next 2 weeks:
1. Current systems audit report
2. Gap analysis report
Next milestone after this window: Final list of prioritized use cases with success criteria (due 2026-05-05).
As-of date: 2026-04-20. Sources: project_description.txt, project_timeline.csv, project_risks.csv, sa</t>
  </si>
  <si>
    <t>Milestones in the next 2 weeks:
1. Current systems audit report
2. Gap analysis report
Next milestone after this window: Final list of prioritized use cases with success criteria (due 2026-05-05).
As-of date: 2026-04-20. Sources: project_description.txt, project_timeline.csv, project_risks.csv, sample_task_board.csv.</t>
  </si>
  <si>
    <t>bda81c6e4250ae22b7749860e7e605fc</t>
  </si>
  <si>
    <t>Subject: Sprint 2 Progress Update - ABCDE Ltd. AI Adoption Project
Dear Stakeholders,
As of April 20, 2026, I am pleased to provide you with an update on the progress of Sprint 2 for the ABCDE Ltd. AI Adoption Project.
**Progress Overview:**
- **Task T004: Audit existing data infrastructure** - S</t>
  </si>
  <si>
    <t>Subject: Sprint 2 Progress Update - ABCDE Ltd. AI Adoption Project
Dear Stakeholders,
As of April 20, 2026, I am pleased to provide you with an update on the progress of Sprint 2 for the ABCDE Ltd. AI Adoption Project.
**Progress Overview:**
- **Task T004: Audit existing data infrastructure** - Status: Done (Assignee: Priya Nair)
- **Task T005: Map current logistics workflows** - Status: Done (Assignee: James Wong)
- **Task T006: Identify data gaps and quality issues** - Status: In Progress (Assignee: Priya Nair)
**Next Steps for Open Tasks:**
- For **Task T006: Identify data gaps and quality issues**, Priya Nair is currently working on the gap analysis report, which is due on April 21, 2026. This task is flagged for monitoring as it is still in progress.
Overall, we have completed 2 tasks and have 1 task currently in progress. The project is on track, with no blocked items at this time.
Thank you for your continued support.
Best regards,  
Mira  
Project Assistant  
Nexora Pvt. Ltd.
As-of date: 2026-04-20. Sources: project_description.txt, project_timeline.csv, project_risks.csv, sample_task_board.csv.</t>
  </si>
  <si>
    <t>Human pass rate</t>
  </si>
  <si>
    <t>5be90b6b5694f430699a5d664f61fda2</t>
  </si>
  <si>
    <t># AI Adoption Project Plan for ABCDE Ltd.
## Project Summary
ABCDE Ltd., a mid-sized enterprise specializing in logistics and supply chain solutions, is initiating an AI adoption project aimed at enhancing operational efficiency, improving customer experience, and driving data-driven decision-making. The project will integrate AI-powered tools into core business functions such as demand forecasting, route optimization, inventory management, and customer support. The initiative will be executed in phases, starting with an assessment of current workflows and data infrastructure, followed by pilot implementations in targeted departments.
## Goals
- Reduce delivery delays by 15%
- Lower operational costs by 10%
- Improve service responsiveness
## Phases Table
| Phase                     | Weeks   | Key Activities                                           | Milestones                                           | End Date     |
|---------------------------|---------|---------------------------------------------------------|-----------------------------------------------------|--------------|
| Project Initiation        | 1-2     | Define project scope; Form cross-functional team; Initial stakeholder meeting | Project charter signed off; Team structure finalized | 2026-04-10   |
| Current State Analysis    | 3-4     | Assess existing processes &amp; systems; Identify data sources &amp; gaps | Current systems audit report; Gap analysis report    | 2026-04-21   |
| Use Case Selection        | 5-6     | Shortlist priority AI use cases (forecasting, route optimization) | Final list of prioritized use cases with success criteria | 2026-05-05   |
| Pilot Design              | 7-10    | Data collection &amp; preparation; Model design and development | Working prototype models; Data pipelines established  | 2026-06-02   |
| Pilot Implementation       | 11-14   | Deploy AI models in test environments; Monitor performance | Pilot results report; User feedback and performance metrics | 2026-06-16   |
| Evaluation &amp; Iteration    | 15-16   | Evaluate pilot outcomes; Adjust models as needed        | Updated models and process refinements               | 2026-06-30   |
| Full Deployment           | 17-22   | Scale AI models across selected departments; Train staff | Full production rollout; Training sessions completed  | 2026-07-21   |
| Monitoring &amp; Review       | 23-24   | Continuous performance monitoring; Final project review  | Project closure report; Recommendations for future scaling | 2026-08-04   |
## Timeline Overview
The project will span a total of 24 weeks, starting from the initiation phase and concluding with the monitoring and review phase. Each phase is designed to build upon the previous one, ensuring a structured approach to AI adoption.
## Assumptions and Gaps
- Proposed, not in source: Specific team sizes and roles for the cross-functional team.
- Proposed, not in source: Detailed budget for the project phases.
- Proposed, not in source: Specific tools and technologies to be used for AI implementation.
## Sources
- Project description provided by ABCDE Ltd.
As-of date: 2026-04-20. Sources: project_description.txt, project_timeline.csv, project_risks.csv, sample_task_board.csv.</t>
  </si>
  <si>
    <t>The mitigations provided do not fit the respective risks and are unrelated to the project.</t>
  </si>
  <si>
    <t>R01; R03; R09</t>
  </si>
  <si>
    <t>838d10895fd5cf257871db62df4758aa</t>
  </si>
  <si>
    <t>c2909017633e196947f03c1823b835c3</t>
  </si>
  <si>
    <t>| Risk ID | Category                       | Risk Challenge                                   | Impact                                         | Mitigation Strategy                                      |
|---------|--------------------------------|-------------------------------------------------|------------------------------------------------|---------------------------------------------------------|
| R01     | Data Quality &amp; Availability    | Incomplete or unstructured data                 | Poor model performance and inaccurate outcomes  | Perform early data audits and implement robust data governance |
| R02     | Integration Issues             | Difficulty integrating AI with legacy systems    | Delays in deployment and operational disruptions | Plan integration roadmap and use APIs/middleware        |
| R03     | Talent &amp; Skills Gap            | Lack of internal AI/ML expertise                 | Overreliance on external vendors and slow progress | Provide staff training and hire specialized talent      |
| R04     | Change Resistance              | Employees resist adopting AI-driven workflows     | Low adoption and reduced ROI                   | Strong change management and early engagement           |
| R05     | Ethical &amp; Legal Concerns       | Risks of biased models or data privacy violations | Legal repercussions and reputational damage     | Involve legal early and implement fairness checks       |
| R06     | Cost Overruns                  | Underestimation of AI development costs          | Budget constraints and project delays          | Set realistic budget and build in contingency funds     |
| R07     | Unrealistic Expectations       | Stakeholders expect immediate ROI                 | Disillusionment and loss of support            | Align expectations and show quick wins                  |
| R08     | Model Performance Drift        | AI models lose accuracy over time                | Incorrect decisions and trust erosion           | Regular retraining cycles and monitoring dashboards      |
| R09     | Security Vulnerabilities       | AI models targeted by adversarial attacks        | Data breaches and operational risks             | Adopt AI security best practices and penetration testing |
| R10     | Vendor Lock-in                 | Overdependence on a specific AI platform        | Flexibility loss and future switching costs     | Favor open standards and negotiate flexible vendor terms |
### Top Risks and Why
1. **R06 - Cost Overruns**: The task of setting a realistic budget and building in contingency funds is crucial, especially as the project progresses and costs may be underestimated (T024 - Security review of AI infrastructure is blocked).
2. **R05 - Ethical &amp; Legal Concerns**: The ongoing legal review of data usage (T025) highlights the importance of addressing potential legal repercussions and reputational damage.
3. **R01 - Data Quality &amp; Availability**: The task of identifying data gaps and quality issues (T006) is currently in progress, which directly relates to the risk of incomplete or unstructured data affecting model performance.
### Sources
- Risks and mitigation strategies provided in the input.
- Project tasks and their statuses.
As-of date: 2026-04-20. Sources: project_description.txt, project_timeline.csv, project_risks.csv, sample_task_board.csv.</t>
  </si>
  <si>
    <t>All risks and mitigations listed in Mira's answer are directly from the reference risk register and are highly relevant to the AI Adoption Project at ABCDE Ltd.</t>
  </si>
  <si>
    <t>Judge pass rate</t>
  </si>
  <si>
    <t>b988f2615f41091bca05ca85ef9932bc</t>
  </si>
  <si>
    <t>9ab909fd0fefd273c49ad7ccdaffea27</t>
  </si>
  <si>
    <t>R04 is mentioned as implied but not explicitly listed in the register, leading to a lack of clear relevance.</t>
  </si>
  <si>
    <t>R04</t>
  </si>
  <si>
    <t>**Weekly Status Report**
**As-of Date:** 2026-04-20  
**Overall Health:** Amber - There are two tasks marked as "To Do," and one task is flagged "At risk."  
**Counts by Status:**  
Done: 0  
In Progress: 2  
To Do: 2  
Blocked: 0  
Total: 4  
**Tasks Grouped by Status:**  
**In Progress:**  
- T007: Shortlist AI use cases  
- T025: Legal review of data usage  
**To Do:**  
- T008: Define success criteria for each use case  
- T009: Vendor evaluation for ML platform  
**Blocked Items:**  
None  
**Upcoming Milestones:**  
- **Current State Analysis** (Due: 2026-04-21)  
  - Activities: Assess existing processes &amp; systems; Identify data sources &amp; gaps  
  - Milestones: Current systems audit report; Gap analysis report  
**Risks or Actions Needed:**  
- T008: Define success criteria for each use case is flagged "At risk" and needs attention to ensure timely completion.  
---  
This concludes the weekly status report.
As-of date: 2026-04-20. Sources: project_description.txt, project_timeline.csv, project_risks.csv, sample_task_board.csv.</t>
  </si>
  <si>
    <t>40792e07884b79c23783444e3ca22acc</t>
  </si>
  <si>
    <t>7b7295509f9bed671b58d1ff7b205b77</t>
  </si>
  <si>
    <t>1. **Risk ID:** R06  
   **Category:** Cost Overruns  
   **Impact:** Budget constraints and project delays  
   **Mitigation:** Set realistic budget and build in contingency funds  
   **Reason:** The task T010 (Collect historical demand data) is still to do, which may lead to underestimating AI development costs.
2. **Risk ID:** R01  
   **Category:** Data Quality &amp; Availability  
   **Impact:** Poor model performance and inaccurate outcomes  
   **Mitigation:** Perform early data audits and implement robust data governance  
   **Reason:** The task T006 (Identify data gaps and quality issues) is in progress, highlighting potential data quality challenges.
3. **Risk ID:** R05  
   **Category:** Ethical &amp; Legal Concerns  
   **Impact:** Legal repercussions and reputational damage  
   **Mitigation:** Involve legal early and implement fairness checks  
   **Reason:** The task T025 (Legal review of data usage) is in progress, indicating ongoing concerns about compliance and ethical use of data.
As-of date: 2026-04-20. Sources: project_description.txt, project_timeline.csv, project_risks.csv, sample_task_board.csv.</t>
  </si>
  <si>
    <t>All identified risks are present in the reference risk register and the mitigations provided are appropriate for each risk.</t>
  </si>
  <si>
    <t>Chance agreement</t>
  </si>
  <si>
    <t>1ffd0df6b27e95b5d2152e98398c457f</t>
  </si>
  <si>
    <t>21ecc5b056215cf98855f1d203ccbe16</t>
  </si>
  <si>
    <t>All risks and mitigations are relevant and specific to the AI Adoption Project.</t>
  </si>
  <si>
    <t>9453063fae08cb7a10a943d1b1d2ae72</t>
  </si>
  <si>
    <t>c5e039f71bec229b3ff56702950dd6e6</t>
  </si>
  <si>
    <t>a2c6e80f5fac5d075b7b6f0ae4427f2b</t>
  </si>
  <si>
    <t>Subject: Sprint 2 Progress Update - ABCDE Ltd. AI Adoption Project
Dear Stakeholders,
As of April 20, 2026, I am pleased to provide you with an update on the progress of Sprint 2 for the ABCDE Ltd. AI Adoption Project.
**Progress by Task:**
- **T004: Audit existing data infrastructure** - Status: Done (Assignee: Priya Nair)
- **T005: Map current logistics workflows** - Status: Done (Assignee: James Wong)
- **T006: Identify data gaps and quality issues** - Status: In Progress (Assignee: Priya Nair)
**Next Steps for Open Tasks:**
- For **T006: Identify data gaps and quality issues**, Priya Nair is currently working on the gap analysis report, which is due on April 21, 2026. 
Overall, we have completed 2 tasks, with 1 task still in progress. 
Thank you for your continued support.
Best regards,  
Mira  
Project Assistant  
Nexora Pvt. Ltd.
As-of date: 2026-04-20. Sources: project_description.txt, project_timeline.csv, project_risks.csv, sample_task_board.csv.</t>
  </si>
  <si>
    <t>The risk of driver shortage is unrelated to AI adoption and logistics as per the reference risk register.</t>
  </si>
  <si>
    <t>Driver shortage in the delivery fleet</t>
  </si>
  <si>
    <t>6da62bc27fbc19e49a11a12d7f47d766</t>
  </si>
  <si>
    <t># AI Adoption Project Plan for ABCDE Ltd.
## Project Summary
ABCDE Ltd., a mid-sized enterprise specializing in logistics and supply chain solutions, is initiating an AI adoption project aimed at enhancing operational efficiency, improving customer experience, and driving data-driven decision-making. The project will integrate AI-powered tools into core business functions such as demand forecasting, route optimization, inventory management, and customer support. The initiative will be executed in phases, starting with an assessment of current workflows and data infrastructure, followed by pilot implementations in targeted departments.
## Goals
- Reduce delivery delays by 15%
- Lower operational costs by 10%
- Improve service responsiveness
## Phases Table
| Phase                     | Weeks   | Key Activities                                         | Milestones                                           | End Date    |
|---------------------------|---------|-------------------------------------------------------|-----------------------------------------------------|-------------|
| Project Initiation        | 1-2     | Define project scope; Form cross-functional team; Initial stakeholder meeting | Project charter signed off; Team structure finalized | 2026-04-10  |
| Current State Analysis    | 3-4     | Assess existing processes &amp; systems; Identify data sources &amp; gaps | Current systems audit report; Gap analysis report   | 2026-04-21  |
| Use Case Selection        | 5-6     | Shortlist priority AI use cases (forecasting, route optimization) | Final list of prioritized use cases with success criteria | 2026-05-05  |
| Pilot Design              | 7-10    | Data collection &amp; preparation; Model design and development | Working prototype models; Data pipelines established | 2026-06-02  |
| Pilot Implementation       | 11-14   | Deploy AI models in test environments; Monitor performance | Pilot results report; User feedback and performance metrics | 2026-06-16  |
| Evaluation &amp; Iteration    | 15-16   | Evaluate pilot outcomes; Adjust models as needed      | Updated models and process refinements              | 2026-06-30  |
| Full Deployment           | 17-22   | Scale AI models across selected departments; Train staff | Full production rollout; Training sessions completed | 2026-07-21  |
| Monitoring &amp; Review       | 23-24   | Continuous performance monitoring; Final project review | Project closure report; Recommendations for future scaling | 2026-08-04  |
## Timeline Overview
The project will span a total of 24 weeks, starting from the initiation phase and concluding with the monitoring and review phase. Each phase is designed to build upon the previous one, ensuring a structured approach to AI adoption.
## Assumptions and Gaps
- Proposed, not in source: Specific team sizes and roles for the cross-functional team.
- Proposed, not in source: Detailed budget for the project phases.
- Proposed, not in source: Specific tools and technologies to be used for AI implementation.
## Sources
- Project description provided by ABCDE Ltd.
As-of date: 2026-04-20. Sources: project_description.txt, project_timeline.csv, project_risks.csv, sample_task_board.csv.</t>
  </si>
  <si>
    <t>1e5276a625ae7aa9dd1d0c1ec2ccaa9a</t>
  </si>
  <si>
    <t>ba6bd648d9013fae010619c35911e09d</t>
  </si>
  <si>
    <t>All identified risks are unrelated to the AI adoption project and logistics.</t>
  </si>
  <si>
    <t>Office relocation; Staff holiday clashes; Printer budget overrun</t>
  </si>
  <si>
    <t>| Risk ID | Category                       | Risk Challenge                                   | Impact                                         | Mitigation Strategy                                      |
|---------|--------------------------------|-------------------------------------------------|------------------------------------------------|---------------------------------------------------------|
| R01     | Data Quality &amp; Availability    | Incomplete or unstructured data                 | Poor model performance and inaccurate outcomes  | Perform early data audits and implement robust data governance |
| R02     | Integration Issues             | Difficulty integrating AI with legacy systems    | Delays in deployment and operational disruptions | Plan integration roadmap and use APIs/middleware        |
| R03     | Talent &amp; Skills Gap            | Lack of internal AI/ML expertise                 | Overreliance on external vendors and slow progress | Provide staff training and hire specialized talent      |
| R04     | Change Resistance              | Employees resist adopting AI-driven workflows     | Low adoption and reduced ROI                   | Strong change management and early engagement           |
| R05     | Ethical &amp; Legal Concerns       | Risks of biased models or data privacy violations | Legal repercussions and reputational damage     | Involve legal early and implement fairness checks       |
| R06     | Cost Overruns                  | Underestimation of AI development costs          | Budget constraints and project delays          | Set realistic budget and build in contingency funds     |
| R07     | Unrealistic Expectations       | Stakeholders expect immediate ROI                | Disillusionment and loss of support            | Align expectations and show quick wins                  |
| R08     | Model Performance Drift        | AI models lose accuracy over time                | Incorrect decisions and trust erosion           | Regular retraining cycles and monitoring dashboards      |
| R09     | Security Vulnerabilities        | AI models targeted by adversarial attacks        | Data breaches and operational risks            | Adopt AI security best practices and penetration testing |
| R10     | Vendor Lock-in                 | Overdependence on a specific AI platform        | Flexibility loss and future switching costs    | Favor open standards and negotiate flexible vendor terms |
### Top Risks and Why
1. **R06 - Cost Overruns**: The task "Vendor evaluation for ML platform" (T009) is still to do, which may lead to underestimating costs.
2. **R01 - Data Quality &amp; Availability**: The task "Identify data gaps and quality issues" (T006) is in progress, indicating potential data quality challenges.
3. **R05 - Ethical &amp; Legal Concerns**: The task "Legal review of data usage" (T025) is in progress, highlighting the need to address legal risks early.
4. **R03 - Talent &amp; Skills Gap**: The task "Staff training program" (T020) is to do, which suggests a current lack of internal expertise.
5. **R04 - Change Resistance**: The task "Strong change management and early engagement" is implied but not explicitly listed, indicating a need for proactive measures.
### Sources
- Risks and mitigation strategies were derived from the provided risk list.
- Task statuses were referenced to identify potential impacts on risk management.
As-of date: 2026-04-20. Sources: project_description.txt, project_timeline.csv, project_risks.csv, sample_task_board.csv.</t>
  </si>
  <si>
    <t>All risks and mitigations listed in Mira's answer are present in the reference risk register and are specifically relevant to the AI Adoption Project in logistics.</t>
  </si>
  <si>
    <t>6ed9d26844db92ae1b051b9185105ed1</t>
  </si>
  <si>
    <t>732b2ccba37157f7e1648caa2074328a</t>
  </si>
  <si>
    <t xml:space="preserve">**Weekly Status Report**
**As-of Date:** 2026-04-20  
**Overall Health:** Amber - There are two tasks marked as "To Do," and one of them is flagged "At risk," which affects the overall progress.
**Counts by Status:**  
Done: 0  
In Progress: 2  
To Do: 2  
Blocked: 0  
Total: 4  
**Tasks Grouped </t>
  </si>
  <si>
    <t>**Weekly Status Report**
**As-of Date:** 2026-04-20  
**Overall Health:** Amber - There are two tasks marked as "To Do," and one of them is flagged "At risk," which affects the overall progress.
**Counts by Status:**  
Done: 0  
In Progress: 2  
To Do: 2  
Blocked: 0  
Total: 4  
**Tasks Grouped by Status:**  
**In Progress:**  
- T007: Shortlist AI use cases  
- T025: Legal review of data usage  
**To Do:**  
- T008: Define success criteria for each use case  
- T009: Vendor evaluation for ML platform  
**Blocked Items:**  
None  
**Upcoming Milestones:**  
- **Current State Analysis** (Due: 2026-04-21)  
  - Activities: Assess existing processes &amp; systems; Identify data sources &amp; gaps  
  - Milestones: Current systems audit report; Gap analysis report  
**Risks or Actions Needed:**  
- T008: Define success criteria for each use case is flagged "At risk" and needs attention to ensure timely completion.  
---  
This concludes the weekly status report for Sprint 3.
As-of date: 2026-04-20. Sources: project_description.txt, project_timeline.csv, project_risks.csv, sample_task_board.csv.</t>
  </si>
  <si>
    <t>The risks mentioned are relevant, but the tasks referenced are not part of the risk register and do not relate to logistics or AI adoption.</t>
  </si>
  <si>
    <t>T024; T025; T006</t>
  </si>
  <si>
    <t>cff5a733b404375ab76f52fb2bfb8a5d</t>
  </si>
  <si>
    <t>737302fb111008853f706d298308813d</t>
  </si>
  <si>
    <t>All identified risks are present in the risk register and are relevant to the AI Adoption Project, with appropriate mitigations provided for each risk.</t>
  </si>
  <si>
    <t>d381a03de10c177e1e8fcd4903028a15</t>
  </si>
  <si>
    <t>0a332e8cd6b9a40ad073b03d566bb998</t>
  </si>
  <si>
    <t>d9fb06e2494d8cdb47b8dc167769a548</t>
  </si>
  <si>
    <t>e1e87a00e726c32f23d455ba9ca4336a</t>
  </si>
  <si>
    <t>Milestones in the next 2 weeks:
1. Current systems audit report
2. Gap analysis report
Next milestone after this window: Final list of prioritized use cases with success criteria.
As-of date: 2026-04-20. Sources: project_description.txt, project_timeline.csv, project_risks.csv, sample_task_board.c</t>
  </si>
  <si>
    <t>Milestones in the next 2 weeks:
1. Current systems audit report
2. Gap analysis report
Next milestone after this window: Final list of prioritized use cases with success criteria.
As-of date: 2026-04-20. Sources: project_description.txt, project_timeline.csv, project_risks.csv, sample_task_board.csv.</t>
  </si>
  <si>
    <t>14d52dcb58502e9bb3117212fb626194</t>
  </si>
  <si>
    <t>Note: Combined test set: 19 items (K01 to K13 plus L01 to L06). Rated blind by a human; used to compare judge v1 and v2. Replaces the former Held-out and heldout_extra_BLIND tabs</t>
  </si>
  <si>
    <t>K01</t>
  </si>
  <si>
    <t>### Top Risks and Why
1. **R06 - Cost Overruns**: The task T009 (Vendor evaluation for ML platform) is still To Do, so platform costs are not yet known.
2. **R02 - Integration Issues**: The task T005 (Map current logistics workflows) is Done and shows several legacy systems that will need connectors.
3. **R08 - Model Performance Drift**: The task T010 (Collect historical demand data) is still To Do, so there is no baseline to monitor drift against.
4. **R05 - Ethical &amp; Legal Concerns**: The task T025 (Legal review of data usage) is In Progress, so legal risks are still open.</t>
  </si>
  <si>
    <t>reasons for R02 and R08 are not in line with the ground truth data</t>
  </si>
  <si>
    <t>K02</t>
  </si>
  <si>
    <t>1. **Risk ID:** R02
   **Category:** Integration Issues
   **Impact:** Delays in deployment and operational disruptions
   **Mitigation:** Plan integration roadmap and use APIs/middleware
   **Reason:** The task T027 (API gateway rollout) is delayed, which threatens integration.
2. **Risk ID:** R09
   **Category:** Security Vulnerabilities
   **Impact:** Data breaches and operational risks
   **Mitigation:** Adopt AI security best practices and penetration testing
   **Reason:** The task T028 (Penetration test) is overdue, so security gaps may remain.
3. **Risk ID:** R07
   **Category:** Unrealistic Expectations
   **Impact:** Disillusionment and loss of support
   **Mitigation:** Align expectations and show quick wins
   **Reason:** The task T040 (Stakeholder expectations workshop) was cancelled, which may inflate expectations.</t>
  </si>
  <si>
    <t>referencing tasks that are not listed in the groundtruth</t>
  </si>
  <si>
    <t>K03</t>
  </si>
  <si>
    <t>1. **Risk ID:** R02
   **Category:** Integration Issues
   **Impact:** Delays in deployment and operational disruptions
   **Mitigation:** Plan integration roadmap and use APIs/middleware
   **Reason:** The task T005 (Map current logistics workflows) is Done and exposed the legacy systems the new tools must connect to, so integration effort is now visible.
2. **Risk ID:** R09
   **Category:** Security Vulnerabilities
   **Impact:** Data breaches and operational risks
   **Mitigation:** Adopt AI security best practices and penetration testing
   **Reason:** The task T024 (Security review of AI infrastructure) is Blocked waiting on the security team, so security risks remain unreviewed.
3. **Risk ID:** R07
   **Category:** Unrealistic Expectations
   **Impact:** Disillusionment and loss of support
   **Mitigation:** Align expectations and show quick wins
   **Reason:** The task T008 (Define success criteria for each use case) is flagged At risk, so expectations may be set before success is defined.</t>
  </si>
  <si>
    <t>reason for R02 does not categorized it as being a top reason</t>
  </si>
  <si>
    <t>K04</t>
  </si>
  <si>
    <t>1. **Risk ID:** R03
   **Category:** Talent &amp; Skills Gap
   **Impact:** Overreliance on external vendors and slow progress
   **Mitigation:** Provide staff training and hire specialized talent
   **Reason:** The task T007 (Shortlist AI use cases) is In Progress and needs skills the team may lack.
2. **Risk ID:** R08
   **Category:** Model Performance Drift
   **Impact:** Incorrect decisions and trust erosion
   **Mitigation:** Regular retraining cycles and monitoring dashboards
   **Reason:** The task T010 (Collect historical demand data) is still To Do, so drift cannot yet be monitored.
3. **Risk ID:** R12
   **Category:** Regulatory Change
   **Impact:** New rules could force redesign
   **Mitigation:** Track regulatory updates monthly
   **Reason:** Customs rules may change during the pilot.</t>
  </si>
  <si>
    <t>R12 is not in the list, hallicullation</t>
  </si>
  <si>
    <t>K05</t>
  </si>
  <si>
    <t>1. **Risk ID:** R08
   **Category:** Security Vulnerabilities
   **Impact:** Incorrect decisions and trust erosion
   **Mitigation:** Regular retraining cycles and monitoring dashboards
   **Reason:** The task T010 (Collect historical demand data) is still To Do.
2. **Risk ID:** R09
   **Category:** Model Performance Drift
   **Impact:** Data breaches and operational risks
   **Mitigation:** Adopt AI security best practices and penetration testing
   **Reason:** The task T024 (Security review of AI infrastructure) is Blocked.
3. **Risk ID:** R03
   **Category:** Talent &amp; Skills Gap
   **Impact:** Overreliance on external vendors and slow progress
   **Mitigation:** Provide staff training and hire specialized talent
   **Reason:** The task T007 (Shortlist AI use cases) is In Progress and needs scarce skills.</t>
  </si>
  <si>
    <t>wrong risk ID for R08 and R09</t>
  </si>
  <si>
    <t>K06</t>
  </si>
  <si>
    <t>1. **Risk ID:** R08
   **Category:** Model Performance Drift
   **Impact:** Incorrect decisions and trust erosion
   **Mitigation:** Regular retraining cycles and monitoring dashboards
   **Reason:** This is a common risk in technology projects.
2. **Risk ID:** R03
   **Category:** Talent &amp; Skills Gap
   **Impact:** Overreliance on external vendors and slow progress
   **Mitigation:** Provide staff training and hire specialized talent
   **Reason:** Many organisations struggle to find skilled people.
3. **Risk ID:** R10
   **Category:** Vendor Lock-in
   **Impact:** Flexibility loss and future switching costs
   **Mitigation:** Favor open standards and negotiate flexible vendor terms
   **Reason:** Being tied to one supplier is generally risky.</t>
  </si>
  <si>
    <t>reasons not generally in consistent to groundtruth data</t>
  </si>
  <si>
    <t>K07</t>
  </si>
  <si>
    <t>1. **Risk ID:** R01
   **Category:** Data Quality &amp; Availability
   **Impact:** Poor model performance and inaccurate outcomes
   **Mitigation:** Perform early data audits and implement robust data governance
   **Reason:** The task T006 (Identify data gaps and quality issues) is In Progress, so the quality of the training data is not yet confirmed.
2. **Risk ID:** R10
   **Category:** Vendor Lock-in
   **Impact:** Flexibility loss and future switching costs
   **Mitigation:** Favor open standards and negotiate flexible vendor terms
   **Reason:** The task T009 (Vendor evaluation for ML platform) is still To Do, so dependence on one platform has not been assessed.
3. **Risk ID:** R05
   **Category:** Ethical &amp; Legal Concerns
   **Impact:** Legal repercussions and reputational damage
   **Mitigation:** Involve legal early and implement fairness checks
   **Reason:** The task T025 (Legal review of data usage) is In Progress, so legal clearance for the data is still open.</t>
  </si>
  <si>
    <t>answers is correct and in line with groundtruth data</t>
  </si>
  <si>
    <t>K08</t>
  </si>
  <si>
    <t>The top three risks are R02 Integration Issues, R08 Model Performance Drift and R09 Security Vulnerabilities.</t>
  </si>
  <si>
    <t>no reasons and details</t>
  </si>
  <si>
    <t>K09</t>
  </si>
  <si>
    <t>1. **Risk ID:** R01
   **Category:** Data Quality &amp; Availability
   **Impact:** Poor model performance and inaccurate outcomes
   **Mitigation:** Perform early data audits and implement robust data governance
   **Reason:** The task T006 (Identify data gaps and quality issues) is In Progress.
2. **Risk ID:** R02
   **Category:** Integration Issues
   **Impact:** Delays in deployment and operational disruptions
   **Mitigation:** Plan integration roadmap and use APIs/middleware
   **Reason:** The task T005 (Map current logistics workflows) is Done and shows legacy dependencies.
3. **Risk:** Fleet telematics outage
   **Impact:** Loss of live vehicle data during the pilot
   **Mitigation:** Add an offline data capture fallback
   **Reason:** Route models depend on live telematics feeds.</t>
  </si>
  <si>
    <t>hallicullation, manfautured data</t>
  </si>
  <si>
    <t>K10</t>
  </si>
  <si>
    <t>1. **Risk ID:** R09
   **Category:** Security Vulnerabilities
   **Impact:** Data breaches and operational risks
   **Mitigation:** Adopt AI security best practices and penetration testing
   **Reason:** The task T008 (Define success criteria for each use case) is flagged At risk.
2. **Risk ID:** R01
   **Category:** Data Quality &amp; Availability
   **Impact:** Poor model performance and inaccurate outcomes
   **Mitigation:** Perform early data audits and implement robust data governance
   **Reason:** The task T009 (Vendor evaluation for ML platform) is still To Do.
3. **Risk ID:** R06
   **Category:** Cost Overruns
   **Impact:** Budget constraints and project delays
   **Mitigation:** Set realistic budget and build in contingency funds
   **Reason:** The task T004 (Audit existing data infrastructure) is Done.</t>
  </si>
  <si>
    <t>based on the reason, it should be not flagged as a risk</t>
  </si>
  <si>
    <t>K11</t>
  </si>
  <si>
    <t>1. **Risk ID:** R04
   **Category:** Change Resistance
   **Impact:** Low adoption and reduced ROI
   **Mitigation:** Strong change management and early engagement
   **Reason:** The task T007 (Shortlist AI use cases) is In Progress, and the shortlisted use cases will change how staff work, so early engagement matters.
2. **Risk ID:** R07
   **Category:** Unrealistic Expectations
   **Impact:** Disillusionment and loss of support
   **Mitigation:** Align expectations and show quick wins
   **Reason:** The task T008 (Define success criteria for each use case) is flagged At risk, so targets may be promised before they are defined.
3. **Risk ID:** R05
   **Category:** Ethical &amp; Legal Concerns
   **Impact:** Legal repercussions and reputational damage
   **Mitigation:** Involve legal early and implement fairness checks
   **Reason:** The task T025 (Legal review of data usage) is In Progress, so privacy obligations are not yet confirmed.</t>
  </si>
  <si>
    <t>answered correctly, in line with ground truth</t>
  </si>
  <si>
    <t>K12</t>
  </si>
  <si>
    <t>1. **Risk ID:** R05
   **Category:** Ethical &amp; Legal Concerns
   **Impact:** Legal repercussions and reputational damage
   **Mitigation:** Order extra laptops for the team
   **Reason:** The task T025 (Legal review of data usage) is In Progress.
2. **Risk ID:** R08
   **Category:** Model Performance Drift
   **Impact:** Incorrect decisions and trust erosion
   **Mitigation:** Hold a team-building day
   **Reason:** The task T010 (Collect historical demand data) is still To Do.
3. **Risk ID:** R02
   **Category:** Integration Issues
   **Impact:** Delays in deployment and operational disruptions
   **Mitigation:** Extend the lunch break
   **Reason:** The task T005 (Map current logistics workflows) is Done.</t>
  </si>
  <si>
    <t>mitigation, not in line with ground truth</t>
  </si>
  <si>
    <t>K13</t>
  </si>
  <si>
    <t>1. **Risk:** Cafeteria menu change
   **Impact:** Staff dissatisfaction at lunch
   **Mitigation:** Survey staff about menu preferences
   **Reason:** Lunch options are being reduced.
2. **Risk:** Parking permit shortage
   **Impact:** Late arrivals
   **Mitigation:** Issue extra permits
   **Reason:** Fewer spaces are available.
3. **Risk:** Brand colour refresh
   **Impact:** Reprinting costs for slides
   **Mitigation:** Approve the new palette early
   **Reason:** Marketing wants a new look.</t>
  </si>
  <si>
    <t>all manfatured data</t>
  </si>
  <si>
    <t>L01</t>
  </si>
  <si>
    <t>1. **Risk ID:** R07
   **Category:** Unrealistic Expectations
   **Impact:** Disillusionment and loss of support
   **Mitigation:** Align expectations and show quick wins
   **Reason:** The task T008 (Define success criteria for each use case) is flagged At risk and is due 2026-05-02.
2. **Risk ID:** R10
   **Category:** Vendor Lock-in
   **Impact:** Flexibility loss and future switching costs
   **Mitigation:** Favor open standards and negotiate flexible vendor terms
   **Reason:** The task T009 (Vendor evaluation for ML platform) is still To Do.
3. **Risk ID:** R01
   **Category:** Data Quality &amp; Availability
   **Impact:** Poor model performance and inaccurate outcomes
   **Mitigation:** Perform early data audits and implement robust data governance
   **Reason:** The task T006 (Identify data gaps and quality issues) is In Progress, due 2026-04-21.</t>
  </si>
  <si>
    <t>accurate answer, in line with ground truth data</t>
  </si>
  <si>
    <t>L02</t>
  </si>
  <si>
    <t>1. **Risk ID:** R09
   **Category:** Security Vulnerabilities
   **Impact:** Data breaches and operational risks
   **Mitigation:** Adopt AI security best practices and penetration testing
   **Reason:** The task T024 (Security review of AI infrastructure) is Blocked, due 2026-05-26, waiting for security team availability.
2. **Risk ID:** R01
   **Category:** Data Quality &amp; Availability
   **Impact:** Poor model performance and inaccurate outcomes
   **Mitigation:** Perform early data audits and implement robust data governance
   **Reason:** The task T006 (Identify data gaps and quality issues) is In Progress, due 2026-04-21.
3. **Risk ID:** R05
   **Category:** Ethical &amp; Legal Concerns
   **Impact:** Legal repercussions and reputational damage
   **Mitigation:** Involve legal early and implement fairness checks
   **Reason:** The task T025 (Legal review of data usage) is In Progress.</t>
  </si>
  <si>
    <t>L03</t>
  </si>
  <si>
    <t>1. **Risk ID:** R06
   **Category:** Cost Overruns
   **Impact:** Budget constraints and project delays
   **Mitigation:** Set realistic budget and build in contingency funds
   **Reason:** The task T009 (Vendor evaluation for ML platform) is still To Do.
2. **Risk ID:** R08
   **Category:** Model Performance Drift
   **Impact:** Incorrect decisions and trust erosion
   **Mitigation:** Regular retraining cycles and monitoring dashboards
   **Reason:** The task T010 (Collect historical demand data) is still To Do.
3. **Risk ID:** R09
   **Category:** Security Vulnerabilities
   **Impact:** Data breaches and operational risks
   **Mitigation:** Adopt AI security best practices and penetration testing
   **Reason:** The task T024 (Security review of AI infrastructure) is Blocked, due 2026-05-26.</t>
  </si>
  <si>
    <t>L04</t>
  </si>
  <si>
    <t>1. **Risk ID:** R01
   **Category:** Data Quality &amp; Availability
   **Impact:** Poor model performance and inaccurate outcomes
   **Mitigation:** Perform early data audits and implement robust data governance
   **Reason:** The task T006 (Identify data gaps and quality issues) is In Progress, due 2026-04-21.
2. **Risk ID:** R05
   **Category:** Ethical &amp; Legal Concerns
   **Impact:** Legal repercussions and reputational damage
   **Mitigation:** Involve legal early and implement fairness checks
   **Reason:** The task T025 (Legal review of data usage) is In Progress.
3. **Risk ID:** R13
   **Category:** Climate Impact
   **Impact:** Higher energy use from model training
   **Mitigation:** Use efficient hardware
   **Reason:** Training workloads may raise energy costs.</t>
  </si>
  <si>
    <t>manfaurated data</t>
  </si>
  <si>
    <t>L05</t>
  </si>
  <si>
    <t>### Top Risks and Why
1. **R09 - Security Vulnerabilities**: The task T024 (Security review of AI infrastructure) is Blocked, due 2026-05-26.
2. **R05 - Ethical &amp; Legal Concerns**: The task T025 (Legal review of data usage) is In Progress.
3. **R10 - Vendor Lock-in**: The task T009 (Vendor evaluation for ML platform) is still To Do.</t>
  </si>
  <si>
    <t>L06</t>
  </si>
  <si>
    <t>1. **Risk ID:** R04
   **Category:** Change Resistance
   **Impact:** Low adoption and reduced ROI
   **Mitigation:** Strong change management and early engagement
   **Reason:** The task T033 (Change champion programme) is overdue.
2. **Risk ID:** R06
   **Category:** Cost Overruns
   **Impact:** Budget constraints and project delays
   **Mitigation:** Set realistic budget and build in contingency funds
   **Reason:** The task T034 (Budget approval) is Blocked.
3. **Risk ID:** R02
   **Category:** Integration Issues
   **Impact:** Delays in deployment and operational disruptions
   **Mitigation:** Plan integration roadmap and use APIs/middleware
   **Reason:** The task T035 (Systems integration test) has not started.</t>
  </si>
  <si>
    <t>manfactured data</t>
  </si>
  <si>
    <t>judge_version</t>
  </si>
  <si>
    <t>agree</t>
  </si>
  <si>
    <t>Measure</t>
  </si>
  <si>
    <t>V1</t>
  </si>
  <si>
    <t>V2</t>
  </si>
  <si>
    <t>v1</t>
  </si>
  <si>
    <t>All risks mentioned are in the register and relevant to the AI Adoption Project.</t>
  </si>
  <si>
    <t>v2</t>
  </si>
  <si>
    <t>The risks identified are relevant to the project, but the mention of tasks without specific mitigations for each risk leads to minor generic wording.</t>
  </si>
  <si>
    <t>Agreement</t>
  </si>
  <si>
    <t>False passes</t>
  </si>
  <si>
    <t>The cited task IDs are beyond the project board's range, making the risks unsupported.</t>
  </si>
  <si>
    <t>T027; T028; T040</t>
  </si>
  <si>
    <t>False fails</t>
  </si>
  <si>
    <t>All risks and mitigations are relevant to the AI Adoption Project and logistics.</t>
  </si>
  <si>
    <t>The inclusion of task T024, which is above the valid range, leads to a score of 2.</t>
  </si>
  <si>
    <t>T024</t>
  </si>
  <si>
    <t>Risk ID R12 is not in the register and is unrelated to logistics or AI adoption.</t>
  </si>
  <si>
    <t>R12</t>
  </si>
  <si>
    <t>Risk R12 is not in the reference risk register and is unrelated to the project.</t>
  </si>
  <si>
    <t>Risks R08 and R09 are incorrectly categorized and do not match the descriptions in the risk register.</t>
  </si>
  <si>
    <t>R08; R09</t>
  </si>
  <si>
    <t>Risk R09 is incorrectly categorized, and tasks T010 and T024 are not valid risks.</t>
  </si>
  <si>
    <t>R09; T010; T024</t>
  </si>
  <si>
    <t>The risks are relevant, but the reasons provided are generic and not specific to this project's context.</t>
  </si>
  <si>
    <t>Risk ID R10 is not in the reference risk register.</t>
  </si>
  <si>
    <t>R10</t>
  </si>
  <si>
    <t>Task IDs T006 and T009 are not within the valid range of project board tasks, which limits the relevance of the risks presented.</t>
  </si>
  <si>
    <t>T006; T009</t>
  </si>
  <si>
    <t>All identified risks are present in the register and relevant to the AI Adoption Project.</t>
  </si>
  <si>
    <t>All listed risks are present in the register and relevant to the AI Adoption Project.</t>
  </si>
  <si>
    <t>The risk of 'Fleet telematics outage' is not in the register and is unrelated to the project.</t>
  </si>
  <si>
    <t>Fleet telematics outage</t>
  </si>
  <si>
    <t>The risk 'Fleet telematics outage' is not in the register and is unrelated to the project.</t>
  </si>
  <si>
    <t>All risks and mitigations are relevant and present in the risk register.</t>
  </si>
  <si>
    <t>All listed risks and mitigations are relevant to the project and match the reference risk register.</t>
  </si>
  <si>
    <t>All risks and mitigations are relevant to the project and align with the risk register.</t>
  </si>
  <si>
    <t>R05; R08; R02</t>
  </si>
  <si>
    <t>The mitigations provided do not fit the respective risks and the cited tasks are beyond the valid range.</t>
  </si>
  <si>
    <t>T025; T010; T005</t>
  </si>
  <si>
    <t>All listed risks are unrelated to logistics or AI adoption and do not appear in the risk register.</t>
  </si>
  <si>
    <t>Cafeteria menu change; Parking permit shortage; Brand colour refresh</t>
  </si>
  <si>
    <t>The listed risks are unrelated to the AI Adoption Project and do not appear in the risk register.</t>
  </si>
  <si>
    <t>All risks and mitigations are relevant and directly aligned with the AI Adoption Project.</t>
  </si>
  <si>
    <t>All risks and mitigations are relevant to the project and the register.</t>
  </si>
  <si>
    <t>All risks and mitigations are relevant and directly aligned with the AI Adoption Project and the reference risk register.</t>
  </si>
  <si>
    <t>The cited task IDs are beyond the valid range and unrelated to the risks presented.</t>
  </si>
  <si>
    <t>T009; T010</t>
  </si>
  <si>
    <t>Risk ID R13 is unrelated to logistics or AI adoption and does not appear in the risk register.</t>
  </si>
  <si>
    <t>R13</t>
  </si>
  <si>
    <t>Risk R13 is unrelated to the project, and task T006 is not within the valid task range.</t>
  </si>
  <si>
    <t>R13; T006</t>
  </si>
  <si>
    <t>All risks listed are in the register and relevant to the AI Adoption Project.</t>
  </si>
  <si>
    <t>The cited task IDs are beyond the valid range and not risks in the register.</t>
  </si>
  <si>
    <t>T024; T025; T009</t>
  </si>
  <si>
    <t>All risks and mitigations are relevant and directly aligned with the project and risk register.</t>
  </si>
  <si>
    <t>The cited task IDs are beyond the allowed range and not relevant to the risks presented.</t>
  </si>
  <si>
    <t>T033; T034; T035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</si>
</sst>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color rgb="FF000000"/>
      <name val="Arial"/>
      <scheme val="minor"/>
    </font>
    <font>
      <b/>
      <color rgb="FF000000"/>
      <name val="Arial"/>
      <scheme val="minor"/>
    </font>
  </fonts>
  <fills count="5">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00FFFF"/>
        <bgColor rgb="FF00FFFF"/>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readingOrder="0" shrinkToFit="0" wrapText="1"/>
    </xf>
    <xf borderId="0" fillId="0" fontId="2" numFmtId="0" xfId="0" applyAlignment="1" applyFont="1">
      <alignment horizontal="center" readingOrder="0" shrinkToFit="0" wrapText="1"/>
    </xf>
    <xf borderId="0" fillId="0" fontId="1" numFmtId="10" xfId="0" applyAlignment="1" applyFont="1" applyNumberFormat="1">
      <alignment horizontal="center" readingOrder="0"/>
    </xf>
    <xf borderId="0" fillId="0" fontId="2" numFmtId="0" xfId="0" applyAlignment="1" applyFont="1">
      <alignment horizontal="left" readingOrder="0" shrinkToFit="0" vertical="center" wrapText="0"/>
    </xf>
    <xf borderId="0" fillId="0" fontId="1" numFmtId="0" xfId="0" applyAlignment="1" applyFont="1">
      <alignment horizontal="center"/>
    </xf>
    <xf borderId="0" fillId="0" fontId="1" numFmtId="0" xfId="0" applyAlignment="1" applyFont="1">
      <alignment horizontal="center"/>
    </xf>
    <xf borderId="0" fillId="0" fontId="1" numFmtId="0" xfId="0" applyAlignment="1" applyFont="1">
      <alignment shrinkToFit="0" wrapText="1"/>
    </xf>
    <xf borderId="0" fillId="0" fontId="1" numFmtId="10" xfId="0" applyAlignment="1" applyFont="1" applyNumberFormat="1">
      <alignment horizontal="center"/>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xf>
    <xf borderId="0" fillId="0" fontId="2" numFmtId="0" xfId="0" applyAlignment="1" applyFont="1">
      <alignment readingOrder="0" shrinkToFit="0" wrapText="1"/>
    </xf>
    <xf borderId="0" fillId="2" fontId="3" numFmtId="0" xfId="0" applyFill="1" applyFont="1"/>
    <xf borderId="0" fillId="3" fontId="4" numFmtId="4" xfId="0" applyAlignment="1" applyFill="1" applyFont="1" applyNumberFormat="1">
      <alignment horizontal="center" readingOrder="0" vertical="center"/>
    </xf>
    <xf borderId="0" fillId="0" fontId="1" numFmtId="0" xfId="0" applyAlignment="1" applyFont="1">
      <alignment readingOrder="0"/>
    </xf>
    <xf borderId="0" fillId="0" fontId="1" numFmtId="0" xfId="0" applyFont="1"/>
    <xf borderId="0" fillId="0" fontId="1" numFmtId="10" xfId="0" applyFont="1" applyNumberFormat="1"/>
    <xf borderId="0" fillId="4" fontId="1" numFmtId="0" xfId="0" applyAlignment="1" applyFill="1" applyFont="1">
      <alignment readingOrder="0" shrinkToFit="0" wrapText="1"/>
    </xf>
    <xf borderId="0" fillId="2" fontId="3" numFmtId="0" xfId="0" applyAlignment="1" applyFill="1" applyFont="1">
      <alignment readingOrder="0"/>
    </xf>
    <xf borderId="0" fillId="3" fontId="3" numFmtId="4" xfId="0" applyAlignment="1" applyFill="1" applyFont="1" applyNumberFormat="1">
      <alignment readingOrder="0"/>
    </xf>
    <xf borderId="0" fillId="3" fontId="3" numFmtId="10" xfId="0" applyFill="1" applyFont="1" applyNumberFormat="1"/>
    <xf borderId="0" fillId="3" fontId="3" numFmtId="4" xfId="0" applyAlignment="1" applyFill="1" applyFont="1" applyNumberFormat="1">
      <alignment readingOrder="0" shrinkToFit="0" wrapText="1"/>
    </xf>
    <xf borderId="0" fillId="3" fontId="3" numFmtId="4" xfId="0" applyFill="1" applyFont="1" applyNumberFormat="1"/>
    <xf borderId="0" fillId="3" fontId="1" numFmtId="4" xfId="0" applyAlignment="1" applyFill="1" applyFont="1" applyNumberFormat="1">
      <alignment readingOrder="0"/>
    </xf>
    <xf borderId="0" fillId="3" fontId="1" numFmtId="4" xfId="0" applyFill="1" applyFont="1" applyNumberFormat="1"/>
    <xf borderId="0" fillId="0" fontId="1" numFmtId="4" xfId="0" applyAlignment="1" applyFont="1" applyNumberFormat="1">
      <alignment readingOrder="0"/>
    </xf>
    <xf borderId="0" fillId="0" fontId="1" numFmtId="4" xfId="0" applyFont="1" applyNumberFormat="1"/>
    <xf borderId="0" fillId="4" fontId="1" numFmtId="0" xfId="0" applyAlignment="1" applyFill="1" applyFont="1">
      <alignment horizontal="left" readingOrder="0" shrinkToFit="0" vertical="center" wrapText="1"/>
    </xf>
    <xf borderId="0" fillId="2" fontId="1" numFmtId="0" xfId="0" applyAlignment="1" applyFill="1" applyFont="1">
      <alignment horizontal="left" readingOrder="0" shrinkToFit="0" vertical="center" wrapText="1"/>
    </xf>
    <xf borderId="0" fillId="3" fontId="2" numFmtId="0" xfId="0" applyAlignment="1" applyFill="1" applyFont="1">
      <alignment readingOrder="0"/>
    </xf>
    <xf borderId="0" fillId="0" fontId="1" numFmtId="0" xfId="0" applyAlignment="1" applyFont="1">
      <alignment readingOrder="0" shrinkToFit="0" wrapText="1"/>
    </xf>
    <xf borderId="0" fillId="3" fontId="1" numFmtId="0" xfId="0" applyAlignment="1" applyFill="1" applyFont="1">
      <alignment readingOrder="0"/>
    </xf>
    <xf borderId="0" fillId="3" fontId="1" numFmtId="0" xfId="0" applyFill="1" applyFont="1"/>
    <xf borderId="0" fillId="3" fontId="1" numFmtId="10" xfId="0" applyFill="1" applyFont="1" applyNumberFormat="1"/>
    <xf borderId="0" fillId="3" fontId="1" numFmtId="0" xfId="0" applyAlignment="1" applyFill="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u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3" displayName="Table1" name="Table1" id="1">
  <tableColumns count="11">
    <tableColumn name="run_label" id="1"/>
    <tableColumn name="testId" id="2"/>
    <tableColumn name="passed" id="3"/>
    <tableColumn name="hallucination" id="4"/>
    <tableColumn name="route" id="5"/>
    <tableColumn name="model" id="6"/>
    <tableColumn name="latencyMs" id="7"/>
    <tableColumn name="promptTokens" id="8"/>
    <tableColumn name="completionTokens" id="9"/>
    <tableColumn name="traceId" id="10"/>
    <tableColumn name="output" id="11"/>
  </tableColumns>
  <tableStyleInfo name="Ru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75"/>
    <col customWidth="1" min="4" max="4" width="15.13"/>
    <col customWidth="1" min="6" max="6" width="19.5"/>
    <col customWidth="1" min="7" max="7" width="16.5"/>
    <col customWidth="1" min="8" max="8" width="19.5"/>
    <col customWidth="1" min="9" max="9" width="22.5"/>
    <col customWidth="1" min="10" max="10" width="32.13"/>
    <col customWidth="1" min="11" max="11" width="51.13"/>
    <col customWidth="1" min="12" max="12" width="30.0"/>
    <col customWidth="1" min="13" max="13" width="16.38"/>
    <col customWidth="1" min="14" max="14" width="16.75"/>
    <col customWidth="1" min="15" max="15" width="17.63"/>
    <col customWidth="1" min="16" max="16" width="16.13"/>
  </cols>
  <sheetData>
    <row r="1" ht="22.5" customHeight="1">
      <c r="A1" s="7" t="s">
        <v>87</v>
      </c>
      <c r="B1" s="7" t="s">
        <v>117</v>
      </c>
      <c r="C1" s="7" t="s">
        <v>126</v>
      </c>
      <c r="D1" s="7" t="s">
        <v>129</v>
      </c>
      <c r="E1" s="7" t="s">
        <v>131</v>
      </c>
      <c r="F1" s="7" t="s">
        <v>133</v>
      </c>
      <c r="G1" s="7" t="s">
        <v>135</v>
      </c>
      <c r="H1" s="7" t="s">
        <v>136</v>
      </c>
      <c r="I1" s="7" t="s">
        <v>137</v>
      </c>
      <c r="J1" s="7" t="s">
        <v>138</v>
      </c>
      <c r="K1" s="7" t="s">
        <v>139</v>
      </c>
      <c r="L1" s="4" t="s">
        <v>140</v>
      </c>
      <c r="M1" s="4" t="s">
        <v>141</v>
      </c>
      <c r="N1" s="4" t="s">
        <v>142</v>
      </c>
      <c r="O1" s="1" t="s">
        <v>143</v>
      </c>
      <c r="P1" s="1" t="s">
        <v>144</v>
      </c>
      <c r="Q1" s="1" t="s">
        <v>145</v>
      </c>
      <c r="R1" s="1" t="s">
        <v>146</v>
      </c>
    </row>
    <row r="2" ht="22.5" customHeight="1">
      <c r="A2" s="12" t="s">
        <v>37</v>
      </c>
      <c r="B2" s="12" t="s">
        <v>20</v>
      </c>
      <c r="C2" s="13" t="b">
        <v>1</v>
      </c>
      <c r="D2" s="13" t="b">
        <v>0</v>
      </c>
      <c r="E2" s="12" t="s">
        <v>147</v>
      </c>
      <c r="F2" s="12" t="s">
        <v>148</v>
      </c>
      <c r="G2" s="14">
        <v>6187.0</v>
      </c>
      <c r="H2" s="14">
        <v>918.0</v>
      </c>
      <c r="I2" s="14">
        <v>603.0</v>
      </c>
      <c r="J2" s="12" t="s">
        <v>149</v>
      </c>
      <c r="K2" s="12" t="s">
        <v>150</v>
      </c>
      <c r="L2" s="10"/>
      <c r="M2" s="10"/>
    </row>
    <row r="3" ht="22.5" customHeight="1">
      <c r="A3" s="12" t="s">
        <v>37</v>
      </c>
      <c r="B3" s="12" t="s">
        <v>155</v>
      </c>
      <c r="C3" s="13" t="b">
        <v>1</v>
      </c>
      <c r="D3" s="13" t="b">
        <v>0</v>
      </c>
      <c r="E3" s="12" t="s">
        <v>156</v>
      </c>
      <c r="G3" s="15"/>
      <c r="H3" s="15"/>
      <c r="I3" s="15"/>
      <c r="J3" s="12" t="s">
        <v>157</v>
      </c>
      <c r="K3" s="12" t="s">
        <v>158</v>
      </c>
      <c r="L3" s="10"/>
      <c r="M3" s="10"/>
    </row>
    <row r="4" ht="22.5" customHeight="1">
      <c r="A4" s="12" t="s">
        <v>37</v>
      </c>
      <c r="B4" s="12" t="s">
        <v>159</v>
      </c>
      <c r="C4" s="13" t="b">
        <v>1</v>
      </c>
      <c r="D4" s="13" t="b">
        <v>0</v>
      </c>
      <c r="E4" s="12" t="s">
        <v>160</v>
      </c>
      <c r="F4" s="12" t="s">
        <v>148</v>
      </c>
      <c r="G4" s="14">
        <v>5743.0</v>
      </c>
      <c r="H4" s="14">
        <v>1434.0</v>
      </c>
      <c r="I4" s="14">
        <v>617.0</v>
      </c>
      <c r="J4" s="12" t="s">
        <v>161</v>
      </c>
      <c r="K4" s="12" t="s">
        <v>162</v>
      </c>
      <c r="L4" s="10"/>
      <c r="M4" s="10"/>
    </row>
    <row r="5" ht="22.5" customHeight="1">
      <c r="A5" s="12" t="s">
        <v>37</v>
      </c>
      <c r="B5" s="12" t="s">
        <v>163</v>
      </c>
      <c r="C5" s="13" t="b">
        <v>1</v>
      </c>
      <c r="D5" s="13" t="b">
        <v>0</v>
      </c>
      <c r="E5" s="12" t="s">
        <v>156</v>
      </c>
      <c r="G5" s="15"/>
      <c r="H5" s="15"/>
      <c r="I5" s="15"/>
      <c r="J5" s="12" t="s">
        <v>167</v>
      </c>
      <c r="K5" s="12" t="s">
        <v>168</v>
      </c>
      <c r="L5" s="10"/>
      <c r="M5" s="10"/>
    </row>
    <row r="6" ht="22.5" customHeight="1">
      <c r="A6" s="12" t="s">
        <v>37</v>
      </c>
      <c r="B6" s="12" t="s">
        <v>169</v>
      </c>
      <c r="C6" s="13" t="b">
        <v>1</v>
      </c>
      <c r="D6" s="13" t="b">
        <v>0</v>
      </c>
      <c r="E6" s="12" t="s">
        <v>170</v>
      </c>
      <c r="F6" s="12" t="s">
        <v>148</v>
      </c>
      <c r="G6" s="14">
        <v>2692.0</v>
      </c>
      <c r="H6" s="14">
        <v>812.0</v>
      </c>
      <c r="I6" s="14">
        <v>243.0</v>
      </c>
      <c r="J6" s="12" t="s">
        <v>171</v>
      </c>
      <c r="K6" s="12" t="s">
        <v>172</v>
      </c>
      <c r="L6" s="10"/>
      <c r="M6" s="10"/>
    </row>
    <row r="7" ht="22.5" customHeight="1">
      <c r="A7" s="12" t="s">
        <v>37</v>
      </c>
      <c r="B7" s="12" t="s">
        <v>173</v>
      </c>
      <c r="C7" s="13" t="b">
        <v>1</v>
      </c>
      <c r="D7" s="13" t="b">
        <v>0</v>
      </c>
      <c r="E7" s="12" t="s">
        <v>156</v>
      </c>
      <c r="G7" s="15"/>
      <c r="H7" s="15"/>
      <c r="I7" s="15"/>
      <c r="J7" s="12" t="s">
        <v>177</v>
      </c>
      <c r="K7" s="12" t="s">
        <v>178</v>
      </c>
      <c r="L7" s="10"/>
      <c r="M7" s="10"/>
    </row>
    <row r="8" ht="22.5" customHeight="1">
      <c r="A8" s="12" t="s">
        <v>37</v>
      </c>
      <c r="B8" s="12" t="s">
        <v>185</v>
      </c>
      <c r="C8" s="13" t="b">
        <v>1</v>
      </c>
      <c r="D8" s="13" t="b">
        <v>0</v>
      </c>
      <c r="E8" s="12" t="s">
        <v>160</v>
      </c>
      <c r="F8" s="12" t="s">
        <v>148</v>
      </c>
      <c r="G8" s="14">
        <v>2578.0</v>
      </c>
      <c r="H8" s="14">
        <v>1433.0</v>
      </c>
      <c r="I8" s="14">
        <v>215.0</v>
      </c>
      <c r="J8" s="12" t="s">
        <v>190</v>
      </c>
      <c r="K8" s="12" t="s">
        <v>191</v>
      </c>
      <c r="L8" s="10"/>
      <c r="M8" s="10"/>
    </row>
    <row r="9" ht="22.5" customHeight="1">
      <c r="A9" s="12" t="s">
        <v>37</v>
      </c>
      <c r="B9" s="12" t="s">
        <v>45</v>
      </c>
      <c r="C9" s="13" t="b">
        <v>1</v>
      </c>
      <c r="D9" s="13" t="b">
        <v>0</v>
      </c>
      <c r="E9" s="12" t="s">
        <v>192</v>
      </c>
      <c r="F9" s="12" t="s">
        <v>148</v>
      </c>
      <c r="G9" s="14">
        <v>2238.0</v>
      </c>
      <c r="H9" s="14">
        <v>1057.0</v>
      </c>
      <c r="I9" s="14">
        <v>193.0</v>
      </c>
      <c r="J9" s="12" t="s">
        <v>198</v>
      </c>
      <c r="K9" s="12" t="s">
        <v>199</v>
      </c>
      <c r="L9" s="10"/>
      <c r="M9" s="10"/>
    </row>
    <row r="10" ht="22.5" customHeight="1">
      <c r="A10" s="12" t="s">
        <v>37</v>
      </c>
      <c r="B10" s="12" t="s">
        <v>204</v>
      </c>
      <c r="C10" s="13" t="b">
        <v>1</v>
      </c>
      <c r="D10" s="13" t="b">
        <v>0</v>
      </c>
      <c r="E10" s="12" t="s">
        <v>156</v>
      </c>
      <c r="G10" s="15"/>
      <c r="H10" s="15"/>
      <c r="I10" s="15"/>
      <c r="J10" s="12" t="s">
        <v>206</v>
      </c>
      <c r="K10" s="12" t="s">
        <v>158</v>
      </c>
      <c r="L10" s="10"/>
      <c r="M10" s="10"/>
    </row>
    <row r="11" ht="22.5" customHeight="1">
      <c r="A11" s="12" t="s">
        <v>37</v>
      </c>
      <c r="B11" s="12" t="s">
        <v>207</v>
      </c>
      <c r="C11" s="13" t="b">
        <v>1</v>
      </c>
      <c r="D11" s="13" t="b">
        <v>0</v>
      </c>
      <c r="E11" s="12" t="s">
        <v>170</v>
      </c>
      <c r="F11" s="12" t="s">
        <v>148</v>
      </c>
      <c r="G11" s="14">
        <v>1110.0</v>
      </c>
      <c r="H11" s="14">
        <v>2421.0</v>
      </c>
      <c r="I11" s="14">
        <v>37.0</v>
      </c>
      <c r="J11" s="12" t="s">
        <v>209</v>
      </c>
      <c r="K11" s="12" t="s">
        <v>211</v>
      </c>
      <c r="L11" s="10"/>
      <c r="M11" s="10"/>
    </row>
    <row r="12" ht="22.5" customHeight="1">
      <c r="A12" s="12" t="s">
        <v>37</v>
      </c>
      <c r="B12" s="12" t="s">
        <v>56</v>
      </c>
      <c r="C12" s="13" t="b">
        <v>1</v>
      </c>
      <c r="D12" s="13" t="b">
        <v>0</v>
      </c>
      <c r="E12" s="12" t="s">
        <v>192</v>
      </c>
      <c r="F12" s="12" t="s">
        <v>148</v>
      </c>
      <c r="G12" s="14">
        <v>1378.0</v>
      </c>
      <c r="H12" s="14">
        <v>1056.0</v>
      </c>
      <c r="I12" s="14">
        <v>65.0</v>
      </c>
      <c r="J12" s="12" t="s">
        <v>215</v>
      </c>
      <c r="K12" s="12" t="s">
        <v>216</v>
      </c>
      <c r="L12" s="10"/>
      <c r="M12" s="10"/>
    </row>
    <row r="13" ht="22.5" customHeight="1">
      <c r="A13" s="12" t="s">
        <v>37</v>
      </c>
      <c r="B13" s="12" t="s">
        <v>32</v>
      </c>
      <c r="C13" s="13" t="b">
        <v>1</v>
      </c>
      <c r="D13" s="13" t="b">
        <v>0</v>
      </c>
      <c r="E13" s="12" t="s">
        <v>170</v>
      </c>
      <c r="F13" s="12" t="s">
        <v>148</v>
      </c>
      <c r="G13" s="14">
        <v>3069.0</v>
      </c>
      <c r="H13" s="14">
        <v>711.0</v>
      </c>
      <c r="I13" s="14">
        <v>238.0</v>
      </c>
      <c r="J13" s="12" t="s">
        <v>219</v>
      </c>
      <c r="K13" s="12" t="s">
        <v>220</v>
      </c>
      <c r="L13" s="10"/>
    </row>
    <row r="14">
      <c r="A14" s="1" t="s">
        <v>154</v>
      </c>
      <c r="B14" s="1" t="s">
        <v>20</v>
      </c>
      <c r="C14" s="20" t="b">
        <v>1</v>
      </c>
      <c r="D14" s="20" t="b">
        <v>0</v>
      </c>
      <c r="E14" s="1" t="s">
        <v>147</v>
      </c>
      <c r="F14" s="1" t="s">
        <v>148</v>
      </c>
      <c r="G14" s="20">
        <v>4926.0</v>
      </c>
      <c r="H14" s="20">
        <v>918.0</v>
      </c>
      <c r="I14" s="20">
        <v>606.0</v>
      </c>
      <c r="J14" s="1" t="s">
        <v>222</v>
      </c>
      <c r="K14" s="1" t="s">
        <v>150</v>
      </c>
      <c r="L14" s="4" t="s">
        <v>223</v>
      </c>
    </row>
    <row r="15">
      <c r="A15" s="1" t="s">
        <v>154</v>
      </c>
      <c r="B15" s="1" t="s">
        <v>155</v>
      </c>
      <c r="C15" s="20" t="b">
        <v>1</v>
      </c>
      <c r="D15" s="20" t="b">
        <v>0</v>
      </c>
      <c r="E15" s="1" t="s">
        <v>156</v>
      </c>
      <c r="J15" s="1" t="s">
        <v>224</v>
      </c>
      <c r="K15" s="1" t="s">
        <v>158</v>
      </c>
      <c r="L15" s="4" t="s">
        <v>158</v>
      </c>
    </row>
    <row r="16">
      <c r="A16" s="1" t="s">
        <v>154</v>
      </c>
      <c r="B16" s="1" t="s">
        <v>159</v>
      </c>
      <c r="C16" s="20" t="b">
        <v>1</v>
      </c>
      <c r="D16" s="20" t="b">
        <v>0</v>
      </c>
      <c r="E16" s="1" t="s">
        <v>160</v>
      </c>
      <c r="F16" s="1" t="s">
        <v>148</v>
      </c>
      <c r="G16" s="20">
        <v>5068.0</v>
      </c>
      <c r="H16" s="20">
        <v>1434.0</v>
      </c>
      <c r="I16" s="20">
        <v>604.0</v>
      </c>
      <c r="J16" s="1" t="s">
        <v>226</v>
      </c>
      <c r="K16" s="1" t="s">
        <v>162</v>
      </c>
      <c r="L16" s="4" t="s">
        <v>227</v>
      </c>
    </row>
    <row r="17">
      <c r="A17" s="1" t="s">
        <v>154</v>
      </c>
      <c r="B17" s="1" t="s">
        <v>163</v>
      </c>
      <c r="C17" s="20" t="b">
        <v>1</v>
      </c>
      <c r="D17" s="20" t="b">
        <v>0</v>
      </c>
      <c r="E17" s="1" t="s">
        <v>156</v>
      </c>
      <c r="J17" s="1" t="s">
        <v>228</v>
      </c>
      <c r="K17" s="1" t="s">
        <v>168</v>
      </c>
      <c r="L17" s="4" t="s">
        <v>168</v>
      </c>
    </row>
    <row r="18">
      <c r="A18" s="1" t="s">
        <v>154</v>
      </c>
      <c r="B18" s="1" t="s">
        <v>169</v>
      </c>
      <c r="C18" s="20" t="b">
        <v>1</v>
      </c>
      <c r="D18" s="20" t="b">
        <v>0</v>
      </c>
      <c r="E18" s="1" t="s">
        <v>170</v>
      </c>
      <c r="F18" s="1" t="s">
        <v>148</v>
      </c>
      <c r="G18" s="20">
        <v>2990.0</v>
      </c>
      <c r="H18" s="20">
        <v>812.0</v>
      </c>
      <c r="I18" s="20">
        <v>246.0</v>
      </c>
      <c r="J18" s="1" t="s">
        <v>229</v>
      </c>
      <c r="K18" s="1" t="s">
        <v>230</v>
      </c>
      <c r="L18" s="4" t="s">
        <v>231</v>
      </c>
    </row>
    <row r="19">
      <c r="A19" s="1" t="s">
        <v>154</v>
      </c>
      <c r="B19" s="1" t="s">
        <v>173</v>
      </c>
      <c r="C19" s="20" t="b">
        <v>1</v>
      </c>
      <c r="D19" s="20" t="b">
        <v>0</v>
      </c>
      <c r="E19" s="1" t="s">
        <v>156</v>
      </c>
      <c r="J19" s="1" t="s">
        <v>232</v>
      </c>
      <c r="K19" s="1" t="s">
        <v>178</v>
      </c>
      <c r="L19" s="4" t="s">
        <v>178</v>
      </c>
    </row>
    <row r="20">
      <c r="A20" s="1" t="s">
        <v>154</v>
      </c>
      <c r="B20" s="1" t="s">
        <v>185</v>
      </c>
      <c r="C20" s="20" t="b">
        <v>1</v>
      </c>
      <c r="D20" s="20" t="b">
        <v>0</v>
      </c>
      <c r="E20" s="1" t="s">
        <v>160</v>
      </c>
      <c r="F20" s="1" t="s">
        <v>148</v>
      </c>
      <c r="G20" s="20">
        <v>2640.0</v>
      </c>
      <c r="H20" s="20">
        <v>1433.0</v>
      </c>
      <c r="I20" s="20">
        <v>213.0</v>
      </c>
      <c r="J20" s="1" t="s">
        <v>233</v>
      </c>
      <c r="K20" s="1" t="s">
        <v>191</v>
      </c>
      <c r="L20" s="4" t="s">
        <v>235</v>
      </c>
    </row>
    <row r="21">
      <c r="A21" s="1" t="s">
        <v>154</v>
      </c>
      <c r="B21" s="1" t="s">
        <v>45</v>
      </c>
      <c r="C21" s="20" t="b">
        <v>1</v>
      </c>
      <c r="D21" s="20" t="b">
        <v>0</v>
      </c>
      <c r="E21" s="1" t="s">
        <v>192</v>
      </c>
      <c r="F21" s="1" t="s">
        <v>148</v>
      </c>
      <c r="G21" s="20">
        <v>1993.0</v>
      </c>
      <c r="H21" s="20">
        <v>1113.0</v>
      </c>
      <c r="I21" s="20">
        <v>180.0</v>
      </c>
      <c r="J21" s="1" t="s">
        <v>236</v>
      </c>
      <c r="K21" s="1" t="s">
        <v>237</v>
      </c>
      <c r="L21" s="4" t="s">
        <v>238</v>
      </c>
    </row>
    <row r="22">
      <c r="A22" s="1" t="s">
        <v>154</v>
      </c>
      <c r="B22" s="1" t="s">
        <v>204</v>
      </c>
      <c r="C22" s="20" t="b">
        <v>1</v>
      </c>
      <c r="D22" s="20" t="b">
        <v>0</v>
      </c>
      <c r="E22" s="1" t="s">
        <v>156</v>
      </c>
      <c r="J22" s="1" t="s">
        <v>239</v>
      </c>
      <c r="K22" s="1" t="s">
        <v>158</v>
      </c>
      <c r="L22" s="4" t="s">
        <v>158</v>
      </c>
    </row>
    <row r="23">
      <c r="A23" s="1" t="s">
        <v>154</v>
      </c>
      <c r="B23" s="1" t="s">
        <v>207</v>
      </c>
      <c r="C23" s="20" t="b">
        <v>1</v>
      </c>
      <c r="D23" s="20" t="b">
        <v>0</v>
      </c>
      <c r="E23" s="1" t="s">
        <v>170</v>
      </c>
      <c r="F23" s="1" t="s">
        <v>148</v>
      </c>
      <c r="G23" s="20">
        <v>992.0</v>
      </c>
      <c r="H23" s="20">
        <v>2421.0</v>
      </c>
      <c r="I23" s="20">
        <v>35.0</v>
      </c>
      <c r="J23" s="1" t="s">
        <v>240</v>
      </c>
      <c r="K23" s="1" t="s">
        <v>241</v>
      </c>
      <c r="L23" s="4" t="s">
        <v>241</v>
      </c>
    </row>
    <row r="24">
      <c r="A24" s="1" t="s">
        <v>154</v>
      </c>
      <c r="B24" s="1" t="s">
        <v>56</v>
      </c>
      <c r="C24" s="20" t="b">
        <v>1</v>
      </c>
      <c r="D24" s="20" t="b">
        <v>0</v>
      </c>
      <c r="E24" s="1" t="s">
        <v>192</v>
      </c>
      <c r="F24" s="1" t="s">
        <v>148</v>
      </c>
      <c r="G24" s="20">
        <v>1388.0</v>
      </c>
      <c r="H24" s="20">
        <v>1112.0</v>
      </c>
      <c r="I24" s="20">
        <v>47.0</v>
      </c>
      <c r="J24" s="1" t="s">
        <v>242</v>
      </c>
      <c r="K24" s="1" t="s">
        <v>243</v>
      </c>
      <c r="L24" s="4" t="s">
        <v>244</v>
      </c>
    </row>
    <row r="25">
      <c r="A25" s="1" t="s">
        <v>154</v>
      </c>
      <c r="B25" s="1" t="s">
        <v>32</v>
      </c>
      <c r="C25" s="20" t="b">
        <v>1</v>
      </c>
      <c r="D25" s="20" t="b">
        <v>0</v>
      </c>
      <c r="E25" s="1" t="s">
        <v>170</v>
      </c>
      <c r="F25" s="1" t="s">
        <v>148</v>
      </c>
      <c r="G25" s="20">
        <v>3110.0</v>
      </c>
      <c r="H25" s="20">
        <v>711.0</v>
      </c>
      <c r="I25" s="20">
        <v>249.0</v>
      </c>
      <c r="J25" s="1" t="s">
        <v>245</v>
      </c>
      <c r="K25" s="1" t="s">
        <v>246</v>
      </c>
      <c r="L25" s="4" t="s">
        <v>247</v>
      </c>
    </row>
    <row r="26">
      <c r="A26" s="1" t="s">
        <v>166</v>
      </c>
      <c r="B26" s="1" t="s">
        <v>20</v>
      </c>
      <c r="C26" s="20" t="b">
        <v>1</v>
      </c>
      <c r="D26" s="20" t="b">
        <v>0</v>
      </c>
      <c r="E26" s="1" t="s">
        <v>147</v>
      </c>
      <c r="F26" s="1" t="s">
        <v>148</v>
      </c>
      <c r="G26" s="20">
        <v>5407.0</v>
      </c>
      <c r="H26" s="20">
        <v>918.0</v>
      </c>
      <c r="I26" s="20">
        <v>613.0</v>
      </c>
      <c r="J26" s="1" t="s">
        <v>249</v>
      </c>
      <c r="K26" s="1" t="s">
        <v>150</v>
      </c>
      <c r="L26" s="4" t="s">
        <v>250</v>
      </c>
      <c r="M26" s="1" t="s">
        <v>69</v>
      </c>
      <c r="N26" s="1" t="s">
        <v>69</v>
      </c>
    </row>
    <row r="27">
      <c r="A27" s="1" t="s">
        <v>166</v>
      </c>
      <c r="B27" s="1" t="s">
        <v>155</v>
      </c>
      <c r="C27" s="20" t="b">
        <v>1</v>
      </c>
      <c r="D27" s="20" t="b">
        <v>0</v>
      </c>
      <c r="E27" s="1" t="s">
        <v>156</v>
      </c>
      <c r="J27" s="1" t="s">
        <v>253</v>
      </c>
      <c r="K27" s="1" t="s">
        <v>158</v>
      </c>
      <c r="L27" s="4" t="s">
        <v>158</v>
      </c>
      <c r="M27" s="1" t="s">
        <v>69</v>
      </c>
      <c r="N27" s="1" t="s">
        <v>69</v>
      </c>
    </row>
    <row r="28">
      <c r="A28" s="1" t="s">
        <v>166</v>
      </c>
      <c r="B28" s="1" t="s">
        <v>159</v>
      </c>
      <c r="C28" s="20" t="b">
        <v>1</v>
      </c>
      <c r="D28" s="20" t="b">
        <v>0</v>
      </c>
      <c r="E28" s="1" t="s">
        <v>160</v>
      </c>
      <c r="F28" s="1" t="s">
        <v>148</v>
      </c>
      <c r="G28" s="20">
        <v>5435.0</v>
      </c>
      <c r="H28" s="20">
        <v>1434.0</v>
      </c>
      <c r="I28" s="20">
        <v>548.0</v>
      </c>
      <c r="J28" s="1" t="s">
        <v>254</v>
      </c>
      <c r="K28" s="1" t="s">
        <v>162</v>
      </c>
      <c r="L28" s="4" t="s">
        <v>255</v>
      </c>
      <c r="M28" s="20">
        <v>5.0</v>
      </c>
      <c r="N28" s="20" t="b">
        <v>1</v>
      </c>
      <c r="O28" s="1" t="s">
        <v>256</v>
      </c>
      <c r="P28" s="1"/>
      <c r="Q28" s="1" t="s">
        <v>148</v>
      </c>
      <c r="R28" s="20">
        <v>1281.0</v>
      </c>
    </row>
    <row r="29">
      <c r="A29" s="1" t="s">
        <v>166</v>
      </c>
      <c r="B29" s="1" t="s">
        <v>163</v>
      </c>
      <c r="C29" s="20" t="b">
        <v>1</v>
      </c>
      <c r="D29" s="20" t="b">
        <v>0</v>
      </c>
      <c r="E29" s="1" t="s">
        <v>156</v>
      </c>
      <c r="J29" s="1" t="s">
        <v>258</v>
      </c>
      <c r="K29" s="1" t="s">
        <v>168</v>
      </c>
      <c r="L29" s="4" t="s">
        <v>168</v>
      </c>
      <c r="M29" s="1" t="s">
        <v>69</v>
      </c>
      <c r="N29" s="1" t="s">
        <v>69</v>
      </c>
    </row>
    <row r="30">
      <c r="A30" s="1" t="s">
        <v>166</v>
      </c>
      <c r="B30" s="1" t="s">
        <v>169</v>
      </c>
      <c r="C30" s="20" t="b">
        <v>1</v>
      </c>
      <c r="D30" s="20" t="b">
        <v>0</v>
      </c>
      <c r="E30" s="1" t="s">
        <v>170</v>
      </c>
      <c r="F30" s="1" t="s">
        <v>148</v>
      </c>
      <c r="G30" s="20">
        <v>2453.0</v>
      </c>
      <c r="H30" s="20">
        <v>812.0</v>
      </c>
      <c r="I30" s="20">
        <v>241.0</v>
      </c>
      <c r="J30" s="1" t="s">
        <v>259</v>
      </c>
      <c r="K30" s="1" t="s">
        <v>172</v>
      </c>
      <c r="L30" s="4" t="s">
        <v>262</v>
      </c>
      <c r="M30" s="1" t="s">
        <v>69</v>
      </c>
      <c r="N30" s="1" t="s">
        <v>69</v>
      </c>
    </row>
    <row r="31">
      <c r="A31" s="1" t="s">
        <v>166</v>
      </c>
      <c r="B31" s="1" t="s">
        <v>173</v>
      </c>
      <c r="C31" s="20" t="b">
        <v>1</v>
      </c>
      <c r="D31" s="20" t="b">
        <v>0</v>
      </c>
      <c r="E31" s="1" t="s">
        <v>156</v>
      </c>
      <c r="J31" s="1" t="s">
        <v>263</v>
      </c>
      <c r="K31" s="1" t="s">
        <v>178</v>
      </c>
      <c r="L31" s="4" t="s">
        <v>178</v>
      </c>
      <c r="M31" s="1" t="s">
        <v>69</v>
      </c>
      <c r="N31" s="1" t="s">
        <v>69</v>
      </c>
    </row>
    <row r="32">
      <c r="A32" s="1" t="s">
        <v>166</v>
      </c>
      <c r="B32" s="1" t="s">
        <v>185</v>
      </c>
      <c r="C32" s="20" t="b">
        <v>1</v>
      </c>
      <c r="D32" s="20" t="b">
        <v>0</v>
      </c>
      <c r="E32" s="1" t="s">
        <v>160</v>
      </c>
      <c r="F32" s="1" t="s">
        <v>148</v>
      </c>
      <c r="G32" s="20">
        <v>2383.0</v>
      </c>
      <c r="H32" s="20">
        <v>1433.0</v>
      </c>
      <c r="I32" s="20">
        <v>215.0</v>
      </c>
      <c r="J32" s="1" t="s">
        <v>264</v>
      </c>
      <c r="K32" s="1" t="s">
        <v>191</v>
      </c>
      <c r="L32" s="4" t="s">
        <v>265</v>
      </c>
      <c r="M32" s="20">
        <v>5.0</v>
      </c>
      <c r="N32" s="20" t="b">
        <v>1</v>
      </c>
      <c r="O32" s="1" t="s">
        <v>266</v>
      </c>
      <c r="P32" s="1"/>
      <c r="Q32" s="1" t="s">
        <v>148</v>
      </c>
      <c r="R32" s="20">
        <v>943.0</v>
      </c>
    </row>
    <row r="33">
      <c r="A33" s="1" t="s">
        <v>166</v>
      </c>
      <c r="B33" s="1" t="s">
        <v>45</v>
      </c>
      <c r="C33" s="20" t="b">
        <v>1</v>
      </c>
      <c r="D33" s="20" t="b">
        <v>0</v>
      </c>
      <c r="E33" s="1" t="s">
        <v>192</v>
      </c>
      <c r="F33" s="1" t="s">
        <v>148</v>
      </c>
      <c r="G33" s="20">
        <v>1871.0</v>
      </c>
      <c r="H33" s="20">
        <v>1113.0</v>
      </c>
      <c r="I33" s="20">
        <v>180.0</v>
      </c>
      <c r="J33" s="1" t="s">
        <v>268</v>
      </c>
      <c r="K33" s="1" t="s">
        <v>237</v>
      </c>
      <c r="L33" s="4" t="s">
        <v>238</v>
      </c>
      <c r="M33" s="1" t="s">
        <v>69</v>
      </c>
      <c r="N33" s="1" t="s">
        <v>69</v>
      </c>
    </row>
    <row r="34">
      <c r="A34" s="1" t="s">
        <v>166</v>
      </c>
      <c r="B34" s="1" t="s">
        <v>204</v>
      </c>
      <c r="C34" s="20" t="b">
        <v>1</v>
      </c>
      <c r="D34" s="20" t="b">
        <v>0</v>
      </c>
      <c r="E34" s="1" t="s">
        <v>156</v>
      </c>
      <c r="J34" s="1" t="s">
        <v>269</v>
      </c>
      <c r="K34" s="1" t="s">
        <v>158</v>
      </c>
      <c r="L34" s="4" t="s">
        <v>158</v>
      </c>
      <c r="M34" s="1" t="s">
        <v>69</v>
      </c>
      <c r="N34" s="1" t="s">
        <v>69</v>
      </c>
    </row>
    <row r="35">
      <c r="A35" s="1" t="s">
        <v>166</v>
      </c>
      <c r="B35" s="1" t="s">
        <v>207</v>
      </c>
      <c r="C35" s="20" t="b">
        <v>1</v>
      </c>
      <c r="D35" s="20" t="b">
        <v>0</v>
      </c>
      <c r="E35" s="1" t="s">
        <v>170</v>
      </c>
      <c r="F35" s="1" t="s">
        <v>148</v>
      </c>
      <c r="G35" s="20">
        <v>937.0</v>
      </c>
      <c r="H35" s="20">
        <v>2421.0</v>
      </c>
      <c r="I35" s="20">
        <v>37.0</v>
      </c>
      <c r="J35" s="1" t="s">
        <v>271</v>
      </c>
      <c r="K35" s="1" t="s">
        <v>211</v>
      </c>
      <c r="L35" s="4" t="s">
        <v>211</v>
      </c>
      <c r="M35" s="1" t="s">
        <v>69</v>
      </c>
      <c r="N35" s="1" t="s">
        <v>69</v>
      </c>
    </row>
    <row r="36">
      <c r="A36" s="1" t="s">
        <v>166</v>
      </c>
      <c r="B36" s="1" t="s">
        <v>56</v>
      </c>
      <c r="C36" s="20" t="b">
        <v>1</v>
      </c>
      <c r="D36" s="20" t="b">
        <v>0</v>
      </c>
      <c r="E36" s="1" t="s">
        <v>192</v>
      </c>
      <c r="F36" s="1" t="s">
        <v>148</v>
      </c>
      <c r="G36" s="20">
        <v>1028.0</v>
      </c>
      <c r="H36" s="20">
        <v>1112.0</v>
      </c>
      <c r="I36" s="20">
        <v>47.0</v>
      </c>
      <c r="J36" s="1" t="s">
        <v>272</v>
      </c>
      <c r="K36" s="1" t="s">
        <v>243</v>
      </c>
      <c r="L36" s="4" t="s">
        <v>244</v>
      </c>
      <c r="M36" s="1" t="s">
        <v>69</v>
      </c>
      <c r="N36" s="1" t="s">
        <v>69</v>
      </c>
    </row>
    <row r="37">
      <c r="A37" s="1" t="s">
        <v>166</v>
      </c>
      <c r="B37" s="1" t="s">
        <v>32</v>
      </c>
      <c r="C37" s="20" t="b">
        <v>1</v>
      </c>
      <c r="D37" s="20" t="b">
        <v>0</v>
      </c>
      <c r="E37" s="1" t="s">
        <v>170</v>
      </c>
      <c r="F37" s="1" t="s">
        <v>148</v>
      </c>
      <c r="G37" s="20">
        <v>3001.0</v>
      </c>
      <c r="H37" s="20">
        <v>711.0</v>
      </c>
      <c r="I37" s="20">
        <v>221.0</v>
      </c>
      <c r="J37" s="1" t="s">
        <v>273</v>
      </c>
      <c r="K37" s="1" t="s">
        <v>220</v>
      </c>
      <c r="L37" s="4" t="s">
        <v>274</v>
      </c>
      <c r="M37" s="1" t="s">
        <v>69</v>
      </c>
      <c r="N37" s="1" t="s">
        <v>69</v>
      </c>
    </row>
    <row r="38">
      <c r="A38" s="1" t="s">
        <v>176</v>
      </c>
      <c r="B38" s="1" t="s">
        <v>20</v>
      </c>
      <c r="C38" s="20" t="b">
        <v>1</v>
      </c>
      <c r="D38" s="20" t="b">
        <v>0</v>
      </c>
      <c r="E38" s="1" t="s">
        <v>147</v>
      </c>
      <c r="F38" s="1" t="s">
        <v>148</v>
      </c>
      <c r="G38" s="20">
        <v>6356.0</v>
      </c>
      <c r="H38" s="20">
        <v>918.0</v>
      </c>
      <c r="I38" s="20">
        <v>610.0</v>
      </c>
      <c r="J38" s="1" t="s">
        <v>277</v>
      </c>
      <c r="K38" s="1" t="s">
        <v>150</v>
      </c>
      <c r="L38" s="4" t="s">
        <v>278</v>
      </c>
      <c r="M38" s="1" t="s">
        <v>69</v>
      </c>
      <c r="N38" s="1" t="s">
        <v>69</v>
      </c>
    </row>
    <row r="39">
      <c r="A39" s="1" t="s">
        <v>176</v>
      </c>
      <c r="B39" s="1" t="s">
        <v>155</v>
      </c>
      <c r="C39" s="20" t="b">
        <v>1</v>
      </c>
      <c r="D39" s="20" t="b">
        <v>0</v>
      </c>
      <c r="E39" s="1" t="s">
        <v>156</v>
      </c>
      <c r="J39" s="1" t="s">
        <v>279</v>
      </c>
      <c r="K39" s="1" t="s">
        <v>158</v>
      </c>
      <c r="L39" s="1" t="s">
        <v>158</v>
      </c>
      <c r="M39" s="1" t="s">
        <v>69</v>
      </c>
      <c r="N39" s="1" t="s">
        <v>69</v>
      </c>
    </row>
    <row r="40">
      <c r="A40" s="1" t="s">
        <v>176</v>
      </c>
      <c r="B40" s="1" t="s">
        <v>159</v>
      </c>
      <c r="C40" s="20" t="b">
        <v>1</v>
      </c>
      <c r="D40" s="20" t="b">
        <v>0</v>
      </c>
      <c r="E40" s="1" t="s">
        <v>160</v>
      </c>
      <c r="F40" s="1" t="s">
        <v>148</v>
      </c>
      <c r="G40" s="20">
        <v>7154.0</v>
      </c>
      <c r="H40" s="20">
        <v>1434.0</v>
      </c>
      <c r="I40" s="20">
        <v>609.0</v>
      </c>
      <c r="J40" s="1" t="s">
        <v>280</v>
      </c>
      <c r="K40" s="1" t="s">
        <v>162</v>
      </c>
      <c r="L40" s="1" t="s">
        <v>283</v>
      </c>
      <c r="M40" s="20">
        <v>5.0</v>
      </c>
      <c r="N40" s="20" t="b">
        <v>1</v>
      </c>
      <c r="O40" s="1" t="s">
        <v>284</v>
      </c>
      <c r="Q40" s="1" t="s">
        <v>148</v>
      </c>
      <c r="R40" s="20">
        <v>1373.0</v>
      </c>
    </row>
    <row r="41">
      <c r="A41" s="1" t="s">
        <v>176</v>
      </c>
      <c r="B41" s="1" t="s">
        <v>163</v>
      </c>
      <c r="C41" s="20" t="b">
        <v>1</v>
      </c>
      <c r="D41" s="20" t="b">
        <v>0</v>
      </c>
      <c r="E41" s="1" t="s">
        <v>156</v>
      </c>
      <c r="J41" s="1" t="s">
        <v>285</v>
      </c>
      <c r="K41" s="1" t="s">
        <v>168</v>
      </c>
      <c r="L41" s="1" t="s">
        <v>168</v>
      </c>
      <c r="M41" s="1" t="s">
        <v>69</v>
      </c>
      <c r="N41" s="1" t="s">
        <v>69</v>
      </c>
    </row>
    <row r="42">
      <c r="A42" s="1" t="s">
        <v>176</v>
      </c>
      <c r="B42" s="1" t="s">
        <v>169</v>
      </c>
      <c r="C42" s="20" t="b">
        <v>1</v>
      </c>
      <c r="D42" s="20" t="b">
        <v>0</v>
      </c>
      <c r="E42" s="1" t="s">
        <v>170</v>
      </c>
      <c r="F42" s="1" t="s">
        <v>148</v>
      </c>
      <c r="G42" s="20">
        <v>3118.0</v>
      </c>
      <c r="H42" s="20">
        <v>812.0</v>
      </c>
      <c r="I42" s="20">
        <v>251.0</v>
      </c>
      <c r="J42" s="1" t="s">
        <v>286</v>
      </c>
      <c r="K42" s="1" t="s">
        <v>287</v>
      </c>
      <c r="L42" s="1" t="s">
        <v>288</v>
      </c>
      <c r="M42" s="1" t="s">
        <v>69</v>
      </c>
      <c r="N42" s="1" t="s">
        <v>69</v>
      </c>
    </row>
    <row r="43">
      <c r="A43" s="1" t="s">
        <v>176</v>
      </c>
      <c r="B43" s="1" t="s">
        <v>173</v>
      </c>
      <c r="C43" s="20" t="b">
        <v>1</v>
      </c>
      <c r="D43" s="20" t="b">
        <v>0</v>
      </c>
      <c r="E43" s="1" t="s">
        <v>156</v>
      </c>
      <c r="J43" s="1" t="s">
        <v>291</v>
      </c>
      <c r="K43" s="1" t="s">
        <v>178</v>
      </c>
      <c r="L43" s="1" t="s">
        <v>178</v>
      </c>
      <c r="M43" s="1" t="s">
        <v>69</v>
      </c>
      <c r="N43" s="1" t="s">
        <v>69</v>
      </c>
    </row>
    <row r="44">
      <c r="A44" s="1" t="s">
        <v>176</v>
      </c>
      <c r="B44" s="1" t="s">
        <v>185</v>
      </c>
      <c r="C44" s="20" t="b">
        <v>1</v>
      </c>
      <c r="D44" s="20" t="b">
        <v>0</v>
      </c>
      <c r="E44" s="1" t="s">
        <v>160</v>
      </c>
      <c r="F44" s="1" t="s">
        <v>148</v>
      </c>
      <c r="G44" s="20">
        <v>2683.0</v>
      </c>
      <c r="H44" s="20">
        <v>1433.0</v>
      </c>
      <c r="I44" s="20">
        <v>213.0</v>
      </c>
      <c r="J44" s="1" t="s">
        <v>292</v>
      </c>
      <c r="K44" s="1" t="s">
        <v>191</v>
      </c>
      <c r="L44" s="1" t="s">
        <v>235</v>
      </c>
      <c r="M44" s="20">
        <v>5.0</v>
      </c>
      <c r="N44" s="20" t="b">
        <v>1</v>
      </c>
      <c r="O44" s="1" t="s">
        <v>293</v>
      </c>
      <c r="Q44" s="1" t="s">
        <v>148</v>
      </c>
      <c r="R44" s="20">
        <v>981.0</v>
      </c>
    </row>
    <row r="45">
      <c r="A45" s="1" t="s">
        <v>176</v>
      </c>
      <c r="B45" s="1" t="s">
        <v>45</v>
      </c>
      <c r="C45" s="20" t="b">
        <v>1</v>
      </c>
      <c r="D45" s="20" t="b">
        <v>0</v>
      </c>
      <c r="E45" s="1" t="s">
        <v>192</v>
      </c>
      <c r="F45" s="1" t="s">
        <v>148</v>
      </c>
      <c r="G45" s="20">
        <v>2518.0</v>
      </c>
      <c r="H45" s="20">
        <v>1113.0</v>
      </c>
      <c r="I45" s="20">
        <v>180.0</v>
      </c>
      <c r="J45" s="1" t="s">
        <v>294</v>
      </c>
      <c r="K45" s="1" t="s">
        <v>237</v>
      </c>
      <c r="L45" s="1" t="s">
        <v>238</v>
      </c>
      <c r="M45" s="1" t="s">
        <v>69</v>
      </c>
      <c r="N45" s="1" t="s">
        <v>69</v>
      </c>
    </row>
    <row r="46">
      <c r="A46" s="1" t="s">
        <v>176</v>
      </c>
      <c r="B46" s="1" t="s">
        <v>204</v>
      </c>
      <c r="C46" s="20" t="b">
        <v>1</v>
      </c>
      <c r="D46" s="20" t="b">
        <v>0</v>
      </c>
      <c r="E46" s="1" t="s">
        <v>156</v>
      </c>
      <c r="J46" s="1" t="s">
        <v>295</v>
      </c>
      <c r="K46" s="1" t="s">
        <v>158</v>
      </c>
      <c r="L46" s="1" t="s">
        <v>158</v>
      </c>
      <c r="M46" s="1" t="s">
        <v>69</v>
      </c>
      <c r="N46" s="1" t="s">
        <v>69</v>
      </c>
    </row>
    <row r="47">
      <c r="A47" s="1" t="s">
        <v>176</v>
      </c>
      <c r="B47" s="1" t="s">
        <v>207</v>
      </c>
      <c r="C47" s="20" t="b">
        <v>1</v>
      </c>
      <c r="D47" s="20" t="b">
        <v>0</v>
      </c>
      <c r="E47" s="1" t="s">
        <v>170</v>
      </c>
      <c r="F47" s="1" t="s">
        <v>148</v>
      </c>
      <c r="G47" s="20">
        <v>1463.0</v>
      </c>
      <c r="H47" s="20">
        <v>2421.0</v>
      </c>
      <c r="I47" s="20">
        <v>35.0</v>
      </c>
      <c r="J47" s="1" t="s">
        <v>296</v>
      </c>
      <c r="K47" s="1" t="s">
        <v>241</v>
      </c>
      <c r="L47" s="1" t="s">
        <v>241</v>
      </c>
      <c r="M47" s="1" t="s">
        <v>69</v>
      </c>
      <c r="N47" s="1" t="s">
        <v>69</v>
      </c>
    </row>
    <row r="48">
      <c r="A48" s="1" t="s">
        <v>176</v>
      </c>
      <c r="B48" s="1" t="s">
        <v>56</v>
      </c>
      <c r="C48" s="20" t="b">
        <v>1</v>
      </c>
      <c r="D48" s="20" t="b">
        <v>0</v>
      </c>
      <c r="E48" s="1" t="s">
        <v>192</v>
      </c>
      <c r="F48" s="1" t="s">
        <v>148</v>
      </c>
      <c r="G48" s="20">
        <v>1244.0</v>
      </c>
      <c r="H48" s="20">
        <v>1112.0</v>
      </c>
      <c r="I48" s="20">
        <v>38.0</v>
      </c>
      <c r="J48" s="1" t="s">
        <v>297</v>
      </c>
      <c r="K48" s="1" t="s">
        <v>298</v>
      </c>
      <c r="L48" s="1" t="s">
        <v>299</v>
      </c>
      <c r="M48" s="1" t="s">
        <v>69</v>
      </c>
      <c r="N48" s="1" t="s">
        <v>69</v>
      </c>
    </row>
    <row r="49">
      <c r="A49" s="1" t="s">
        <v>176</v>
      </c>
      <c r="B49" s="1" t="s">
        <v>32</v>
      </c>
      <c r="C49" s="20" t="b">
        <v>1</v>
      </c>
      <c r="D49" s="20" t="b">
        <v>0</v>
      </c>
      <c r="E49" s="1" t="s">
        <v>170</v>
      </c>
      <c r="F49" s="1" t="s">
        <v>148</v>
      </c>
      <c r="G49" s="20">
        <v>3238.0</v>
      </c>
      <c r="H49" s="20">
        <v>711.0</v>
      </c>
      <c r="I49" s="20">
        <v>221.0</v>
      </c>
      <c r="J49" s="1" t="s">
        <v>300</v>
      </c>
      <c r="K49" s="1" t="s">
        <v>220</v>
      </c>
      <c r="L49" s="1" t="s">
        <v>274</v>
      </c>
      <c r="M49" s="1" t="s">
        <v>69</v>
      </c>
      <c r="N49" s="1" t="s">
        <v>69</v>
      </c>
    </row>
  </sheetData>
  <dataValidations>
    <dataValidation type="custom" allowBlank="1" showDropDown="1" sqref="G2:I13">
      <formula1>AND(ISNUMBER(G2),(NOT(OR(NOT(ISERROR(DATEVALUE(G2))), AND(ISNUMBER(G2), LEFT(CELL("format", G2))="D")))))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0.5"/>
    <col customWidth="1" min="10" max="10" width="18.0"/>
    <col customWidth="1" min="11" max="11" width="17.13"/>
  </cols>
  <sheetData>
    <row r="1">
      <c r="A1" s="1" t="s">
        <v>0</v>
      </c>
      <c r="B1" s="3" t="s">
        <v>3</v>
      </c>
      <c r="C1" s="3" t="s">
        <v>8</v>
      </c>
      <c r="D1" s="6" t="s">
        <v>12</v>
      </c>
      <c r="E1" s="3" t="s">
        <v>17</v>
      </c>
      <c r="F1" s="3" t="s">
        <v>21</v>
      </c>
      <c r="G1" s="3" t="s">
        <v>23</v>
      </c>
      <c r="H1" s="6" t="s">
        <v>25</v>
      </c>
      <c r="I1" s="3" t="s">
        <v>27</v>
      </c>
      <c r="J1" s="1" t="s">
        <v>29</v>
      </c>
      <c r="K1" s="1" t="s">
        <v>31</v>
      </c>
      <c r="L1" s="1" t="s">
        <v>33</v>
      </c>
    </row>
    <row r="2">
      <c r="A2" s="4" t="s">
        <v>37</v>
      </c>
      <c r="B2" s="8">
        <f>COUNTIFS(Run!$A:$A,$A2)</f>
        <v>12</v>
      </c>
      <c r="C2" s="9">
        <f>COUNTIFS(Run!$A:$A,$A2,Run!$C:$C,TRUE)</f>
        <v>12</v>
      </c>
      <c r="D2" s="11">
        <f t="shared" ref="D2:D5" si="1">IFERROR(C2/B2,"")</f>
        <v>1</v>
      </c>
      <c r="E2" s="9">
        <f>COUNTIFS(Run!$A:$A,$A2,Run!$D:$D,TRUE)</f>
        <v>0</v>
      </c>
      <c r="F2" s="9">
        <f>IFERROR(AVERAGEIFS(Run!$G:$G,Run!$A:$A,$A2),"")</f>
        <v>3124.375</v>
      </c>
      <c r="G2" s="9">
        <f>COUNTIFS(Run!$A:$A,$A2,Run!$M:$M,"&gt;0")</f>
        <v>0</v>
      </c>
      <c r="H2" s="11" t="str">
        <f>IF(G2=0,"n/a",COUNTIFS(Run!$A:$A,$A2,Run!$N:$N,TRUE)/G2)</f>
        <v>n/a</v>
      </c>
      <c r="I2" s="9" t="str">
        <f>IF(G2=0,"n/a",AVERAGEIFS(Run!$M:$M,Run!$A:$A,$A2,Run!$M:$M,"&gt;0"))</f>
        <v>n/a</v>
      </c>
      <c r="J2" s="1" t="s">
        <v>151</v>
      </c>
      <c r="K2" s="1" t="s">
        <v>152</v>
      </c>
      <c r="L2" s="4" t="s">
        <v>153</v>
      </c>
    </row>
    <row r="3">
      <c r="A3" s="4" t="s">
        <v>154</v>
      </c>
      <c r="B3" s="8">
        <f>COUNTIFS(Run!$A:$A,$A3)</f>
        <v>12</v>
      </c>
      <c r="C3" s="9">
        <f>COUNTIFS(Run!$A:$A,$A3,Run!$C:$C,TRUE)</f>
        <v>12</v>
      </c>
      <c r="D3" s="11">
        <f t="shared" si="1"/>
        <v>1</v>
      </c>
      <c r="E3" s="9">
        <f>COUNTIFS(Run!$A:$A,$A3,Run!$D:$D,TRUE)</f>
        <v>0</v>
      </c>
      <c r="F3" s="9">
        <f>IFERROR(AVERAGEIFS(Run!$G:$G,Run!$A:$A,$A3),"")</f>
        <v>2888.375</v>
      </c>
      <c r="G3" s="9">
        <f>COUNTIFS(Run!$A:$A,$A3,Run!$M:$M,"&gt;0")</f>
        <v>0</v>
      </c>
      <c r="H3" s="11" t="str">
        <f>IF(G3=0,"n/a",COUNTIFS(Run!$A:$A,$A3,Run!$N:$N,TRUE)/G3)</f>
        <v>n/a</v>
      </c>
      <c r="I3" s="9" t="str">
        <f>IF(G3=0,"n/a",AVERAGEIFS(Run!$M:$M,Run!$A:$A,$A3,Run!$M:$M,"&gt;0"))</f>
        <v>n/a</v>
      </c>
      <c r="J3" s="1" t="s">
        <v>164</v>
      </c>
      <c r="K3" s="1" t="s">
        <v>152</v>
      </c>
      <c r="L3" s="4" t="s">
        <v>165</v>
      </c>
    </row>
    <row r="4">
      <c r="A4" s="4" t="s">
        <v>166</v>
      </c>
      <c r="B4" s="8">
        <f>COUNTIFS(Run!$A:$A,$A4)</f>
        <v>12</v>
      </c>
      <c r="C4" s="9">
        <f>COUNTIFS(Run!$A:$A,$A4,Run!$C:$C,TRUE)</f>
        <v>12</v>
      </c>
      <c r="D4" s="11">
        <f t="shared" si="1"/>
        <v>1</v>
      </c>
      <c r="E4" s="9">
        <f>COUNTIFS(Run!$A:$A,$A4,Run!$D:$D,TRUE)</f>
        <v>0</v>
      </c>
      <c r="F4" s="9">
        <f>IFERROR(AVERAGEIFS(Run!$G:$G,Run!$A:$A,$A4),"")</f>
        <v>2814.375</v>
      </c>
      <c r="G4" s="9">
        <f>COUNTIFS(Run!$A:$A,$A4,Run!$M:$M,"&gt;0")</f>
        <v>2</v>
      </c>
      <c r="H4" s="11">
        <f>IF(G4=0,"n/a",COUNTIFS(Run!$A:$A,$A4,Run!$N:$N,TRUE)/G4)</f>
        <v>1</v>
      </c>
      <c r="I4" s="9">
        <f>IF(G4=0,"n/a",AVERAGEIFS(Run!$M:$M,Run!$A:$A,$A4,Run!$M:$M,"&gt;0"))</f>
        <v>5</v>
      </c>
      <c r="J4" s="1" t="s">
        <v>174</v>
      </c>
      <c r="K4" s="1" t="s">
        <v>152</v>
      </c>
      <c r="L4" s="4" t="s">
        <v>175</v>
      </c>
    </row>
    <row r="5">
      <c r="A5" s="4" t="s">
        <v>176</v>
      </c>
      <c r="B5" s="8">
        <f>COUNTIFS(Run!$A:$A,$A5)</f>
        <v>12</v>
      </c>
      <c r="C5" s="9">
        <f>COUNTIFS(Run!$A:$A,$A5,Run!$C:$C,TRUE)</f>
        <v>12</v>
      </c>
      <c r="D5" s="11">
        <f t="shared" si="1"/>
        <v>1</v>
      </c>
      <c r="E5" s="9">
        <f>COUNTIFS(Run!$A:$A,$A5,Run!$D:$D,TRUE)</f>
        <v>0</v>
      </c>
      <c r="F5" s="9">
        <f>IFERROR(AVERAGEIFS(Run!$G:$G,Run!$A:$A,$A5),"")</f>
        <v>3471.75</v>
      </c>
      <c r="G5" s="9">
        <f>COUNTIFS(Run!$A:$A,$A5,Run!$M:$M,"&gt;0")</f>
        <v>2</v>
      </c>
      <c r="H5" s="11">
        <f>IF(G5=0,"n/a",COUNTIFS(Run!$A:$A,$A5,Run!$N:$N,TRUE)/G5)</f>
        <v>1</v>
      </c>
      <c r="I5" s="9">
        <f>IF(G5=0,"n/a",AVERAGEIFS(Run!$M:$M,Run!$A:$A,$A5,Run!$M:$M,"&gt;0"))</f>
        <v>5</v>
      </c>
      <c r="J5" s="1" t="s">
        <v>193</v>
      </c>
      <c r="K5" s="1" t="s">
        <v>194</v>
      </c>
      <c r="L5" s="4" t="s">
        <v>195</v>
      </c>
    </row>
    <row r="6">
      <c r="D6" s="22"/>
      <c r="H6" s="22"/>
    </row>
    <row r="7">
      <c r="D7" s="22"/>
      <c r="F7" s="23" t="s">
        <v>196</v>
      </c>
      <c r="H7" s="22"/>
      <c r="J7" s="23" t="s">
        <v>197</v>
      </c>
    </row>
    <row r="8">
      <c r="D8" s="22"/>
      <c r="H8" s="22"/>
    </row>
    <row r="9">
      <c r="D9" s="22"/>
      <c r="H9" s="22"/>
    </row>
    <row r="10">
      <c r="D10" s="22"/>
      <c r="H10" s="22"/>
    </row>
    <row r="11">
      <c r="D11" s="22"/>
      <c r="H11" s="22"/>
    </row>
    <row r="12">
      <c r="D12" s="22"/>
      <c r="H12" s="22"/>
    </row>
    <row r="13">
      <c r="D13" s="22"/>
      <c r="H13" s="22"/>
    </row>
    <row r="14">
      <c r="D14" s="22"/>
      <c r="H14" s="22"/>
    </row>
    <row r="15">
      <c r="B15" s="1" t="s">
        <v>203</v>
      </c>
      <c r="D15" s="22"/>
      <c r="H15" s="22"/>
    </row>
    <row r="16">
      <c r="D16" s="22"/>
      <c r="H16" s="22"/>
    </row>
    <row r="17">
      <c r="D17" s="22"/>
      <c r="H17" s="22"/>
    </row>
    <row r="18">
      <c r="D18" s="22"/>
      <c r="H18" s="22"/>
    </row>
    <row r="19">
      <c r="D19" s="22"/>
      <c r="H19" s="22"/>
    </row>
    <row r="20">
      <c r="D20" s="22"/>
      <c r="H20" s="22"/>
    </row>
    <row r="21">
      <c r="D21" s="22"/>
      <c r="H21" s="22"/>
    </row>
    <row r="22">
      <c r="D22" s="22"/>
      <c r="H22" s="22"/>
    </row>
    <row r="23">
      <c r="D23" s="22"/>
      <c r="H23" s="22"/>
    </row>
    <row r="24">
      <c r="D24" s="22"/>
      <c r="H24" s="22"/>
    </row>
    <row r="25">
      <c r="D25" s="22"/>
      <c r="H25" s="22"/>
    </row>
    <row r="26">
      <c r="D26" s="22"/>
      <c r="H26" s="22"/>
    </row>
    <row r="27">
      <c r="D27" s="22"/>
      <c r="H27" s="22"/>
    </row>
    <row r="28">
      <c r="D28" s="22"/>
      <c r="H28" s="22"/>
    </row>
    <row r="29">
      <c r="D29" s="22"/>
      <c r="H29" s="22"/>
    </row>
    <row r="30">
      <c r="D30" s="22"/>
      <c r="H30" s="22"/>
    </row>
    <row r="31">
      <c r="D31" s="22"/>
      <c r="H31" s="22"/>
    </row>
    <row r="32">
      <c r="D32" s="22"/>
      <c r="H32" s="22"/>
    </row>
    <row r="33">
      <c r="D33" s="22"/>
      <c r="H33" s="22"/>
    </row>
    <row r="34">
      <c r="D34" s="22"/>
      <c r="H34" s="22"/>
    </row>
    <row r="35">
      <c r="D35" s="22"/>
      <c r="H35" s="22"/>
    </row>
    <row r="36">
      <c r="D36" s="22"/>
      <c r="H36" s="22"/>
    </row>
    <row r="37">
      <c r="D37" s="22"/>
      <c r="H37" s="22"/>
    </row>
    <row r="38">
      <c r="D38" s="22"/>
      <c r="H38" s="22"/>
    </row>
    <row r="39">
      <c r="D39" s="22"/>
      <c r="H39" s="22"/>
    </row>
    <row r="40">
      <c r="D40" s="22"/>
      <c r="H40" s="22"/>
    </row>
    <row r="41">
      <c r="D41" s="22"/>
      <c r="H41" s="22"/>
    </row>
    <row r="42">
      <c r="D42" s="22"/>
      <c r="H42" s="22"/>
    </row>
    <row r="43">
      <c r="D43" s="22"/>
      <c r="H43" s="22"/>
    </row>
    <row r="44">
      <c r="D44" s="22"/>
      <c r="H44" s="22"/>
    </row>
    <row r="45">
      <c r="D45" s="22"/>
      <c r="H45" s="22"/>
    </row>
    <row r="46">
      <c r="D46" s="22"/>
      <c r="H46" s="22"/>
    </row>
    <row r="47">
      <c r="D47" s="22"/>
      <c r="H47" s="22"/>
    </row>
    <row r="48">
      <c r="D48" s="22"/>
      <c r="H48" s="22"/>
    </row>
    <row r="49">
      <c r="D49" s="22"/>
      <c r="H49" s="22"/>
    </row>
    <row r="50">
      <c r="D50" s="22"/>
      <c r="H50" s="22"/>
    </row>
    <row r="51">
      <c r="D51" s="22"/>
      <c r="H51" s="22"/>
    </row>
    <row r="52">
      <c r="D52" s="22"/>
      <c r="H52" s="22"/>
    </row>
    <row r="53">
      <c r="D53" s="22"/>
      <c r="H53" s="22"/>
    </row>
    <row r="54">
      <c r="D54" s="22"/>
      <c r="H54" s="22"/>
    </row>
    <row r="55">
      <c r="D55" s="22"/>
      <c r="H55" s="22"/>
    </row>
    <row r="56">
      <c r="D56" s="22"/>
      <c r="H56" s="22"/>
    </row>
    <row r="57">
      <c r="D57" s="22"/>
      <c r="H57" s="22"/>
    </row>
    <row r="58">
      <c r="D58" s="22"/>
      <c r="H58" s="22"/>
    </row>
    <row r="59">
      <c r="D59" s="22"/>
      <c r="H59" s="22"/>
    </row>
    <row r="60">
      <c r="D60" s="22"/>
      <c r="H60" s="22"/>
    </row>
    <row r="61">
      <c r="D61" s="22"/>
      <c r="H61" s="22"/>
    </row>
    <row r="62">
      <c r="D62" s="22"/>
      <c r="H62" s="22"/>
    </row>
    <row r="63">
      <c r="D63" s="22"/>
      <c r="H63" s="22"/>
    </row>
    <row r="64">
      <c r="D64" s="22"/>
      <c r="H64" s="22"/>
    </row>
    <row r="65">
      <c r="D65" s="22"/>
      <c r="H65" s="22"/>
    </row>
    <row r="66">
      <c r="D66" s="22"/>
      <c r="H66" s="22"/>
    </row>
    <row r="67">
      <c r="D67" s="22"/>
      <c r="H67" s="22"/>
    </row>
    <row r="68">
      <c r="D68" s="22"/>
      <c r="H68" s="22"/>
    </row>
    <row r="69">
      <c r="D69" s="22"/>
      <c r="H69" s="22"/>
    </row>
    <row r="70">
      <c r="D70" s="22"/>
      <c r="H70" s="22"/>
    </row>
    <row r="71">
      <c r="D71" s="22"/>
      <c r="H71" s="22"/>
    </row>
    <row r="72">
      <c r="D72" s="22"/>
      <c r="H72" s="22"/>
    </row>
    <row r="73">
      <c r="D73" s="22"/>
      <c r="H73" s="22"/>
    </row>
    <row r="74">
      <c r="D74" s="22"/>
      <c r="H74" s="22"/>
    </row>
    <row r="75">
      <c r="D75" s="22"/>
      <c r="H75" s="22"/>
    </row>
    <row r="76">
      <c r="D76" s="22"/>
      <c r="H76" s="22"/>
    </row>
    <row r="77">
      <c r="D77" s="22"/>
      <c r="H77" s="22"/>
    </row>
    <row r="78">
      <c r="D78" s="22"/>
      <c r="H78" s="22"/>
    </row>
    <row r="79">
      <c r="D79" s="22"/>
      <c r="H79" s="22"/>
    </row>
    <row r="80">
      <c r="D80" s="22"/>
      <c r="H80" s="22"/>
    </row>
    <row r="81">
      <c r="D81" s="22"/>
      <c r="H81" s="22"/>
    </row>
    <row r="82">
      <c r="D82" s="22"/>
      <c r="H82" s="22"/>
    </row>
    <row r="83">
      <c r="D83" s="22"/>
      <c r="H83" s="22"/>
    </row>
    <row r="84">
      <c r="D84" s="22"/>
      <c r="H84" s="22"/>
    </row>
    <row r="85">
      <c r="D85" s="22"/>
      <c r="H85" s="22"/>
    </row>
    <row r="86">
      <c r="D86" s="22"/>
      <c r="H86" s="22"/>
    </row>
    <row r="87">
      <c r="D87" s="22"/>
      <c r="H87" s="22"/>
    </row>
    <row r="88">
      <c r="D88" s="22"/>
      <c r="H88" s="22"/>
    </row>
    <row r="89">
      <c r="D89" s="22"/>
      <c r="H89" s="22"/>
    </row>
    <row r="90">
      <c r="D90" s="22"/>
      <c r="H90" s="22"/>
    </row>
    <row r="91">
      <c r="D91" s="22"/>
      <c r="H91" s="22"/>
    </row>
    <row r="92">
      <c r="D92" s="22"/>
      <c r="H92" s="22"/>
    </row>
    <row r="93">
      <c r="D93" s="22"/>
      <c r="H93" s="22"/>
    </row>
    <row r="94">
      <c r="D94" s="22"/>
      <c r="H94" s="22"/>
    </row>
    <row r="95">
      <c r="D95" s="22"/>
      <c r="H95" s="22"/>
    </row>
    <row r="96">
      <c r="D96" s="22"/>
      <c r="H96" s="22"/>
    </row>
    <row r="97">
      <c r="D97" s="22"/>
      <c r="H97" s="22"/>
    </row>
    <row r="98">
      <c r="D98" s="22"/>
      <c r="H98" s="22"/>
    </row>
    <row r="99">
      <c r="D99" s="22"/>
      <c r="H99" s="22"/>
    </row>
    <row r="100">
      <c r="D100" s="22"/>
      <c r="H100" s="22"/>
    </row>
    <row r="101">
      <c r="D101" s="22"/>
      <c r="H101" s="22"/>
    </row>
    <row r="102">
      <c r="D102" s="22"/>
      <c r="H102" s="22"/>
    </row>
    <row r="103">
      <c r="D103" s="22"/>
      <c r="H103" s="22"/>
    </row>
    <row r="104">
      <c r="D104" s="22"/>
      <c r="H104" s="22"/>
    </row>
    <row r="105">
      <c r="D105" s="22"/>
      <c r="H105" s="22"/>
    </row>
    <row r="106">
      <c r="D106" s="22"/>
      <c r="H106" s="22"/>
    </row>
    <row r="107">
      <c r="D107" s="22"/>
      <c r="H107" s="22"/>
    </row>
    <row r="108">
      <c r="D108" s="22"/>
      <c r="H108" s="22"/>
    </row>
    <row r="109">
      <c r="D109" s="22"/>
      <c r="H109" s="22"/>
    </row>
    <row r="110">
      <c r="D110" s="22"/>
      <c r="H110" s="22"/>
    </row>
    <row r="111">
      <c r="D111" s="22"/>
      <c r="H111" s="22"/>
    </row>
    <row r="112">
      <c r="D112" s="22"/>
      <c r="H112" s="22"/>
    </row>
    <row r="113">
      <c r="D113" s="22"/>
      <c r="H113" s="22"/>
    </row>
    <row r="114">
      <c r="D114" s="22"/>
      <c r="H114" s="22"/>
    </row>
    <row r="115">
      <c r="D115" s="22"/>
      <c r="H115" s="22"/>
    </row>
    <row r="116">
      <c r="D116" s="22"/>
      <c r="H116" s="22"/>
    </row>
    <row r="117">
      <c r="D117" s="22"/>
      <c r="H117" s="22"/>
    </row>
    <row r="118">
      <c r="D118" s="22"/>
      <c r="H118" s="22"/>
    </row>
    <row r="119">
      <c r="D119" s="22"/>
      <c r="H119" s="22"/>
    </row>
    <row r="120">
      <c r="D120" s="22"/>
      <c r="H120" s="22"/>
    </row>
    <row r="121">
      <c r="D121" s="22"/>
      <c r="H121" s="22"/>
    </row>
    <row r="122">
      <c r="D122" s="22"/>
      <c r="H122" s="22"/>
    </row>
    <row r="123">
      <c r="D123" s="22"/>
      <c r="H123" s="22"/>
    </row>
    <row r="124">
      <c r="D124" s="22"/>
      <c r="H124" s="22"/>
    </row>
    <row r="125">
      <c r="D125" s="22"/>
      <c r="H125" s="22"/>
    </row>
    <row r="126">
      <c r="D126" s="22"/>
      <c r="H126" s="22"/>
    </row>
    <row r="127">
      <c r="D127" s="22"/>
      <c r="H127" s="22"/>
    </row>
    <row r="128">
      <c r="D128" s="22"/>
      <c r="H128" s="22"/>
    </row>
    <row r="129">
      <c r="D129" s="22"/>
      <c r="H129" s="22"/>
    </row>
    <row r="130">
      <c r="D130" s="22"/>
      <c r="H130" s="22"/>
    </row>
    <row r="131">
      <c r="D131" s="22"/>
      <c r="H131" s="22"/>
    </row>
    <row r="132">
      <c r="D132" s="22"/>
      <c r="H132" s="22"/>
    </row>
    <row r="133">
      <c r="D133" s="22"/>
      <c r="H133" s="22"/>
    </row>
    <row r="134">
      <c r="D134" s="22"/>
      <c r="H134" s="22"/>
    </row>
    <row r="135">
      <c r="D135" s="22"/>
      <c r="H135" s="22"/>
    </row>
    <row r="136">
      <c r="D136" s="22"/>
      <c r="H136" s="22"/>
    </row>
    <row r="137">
      <c r="D137" s="22"/>
      <c r="H137" s="22"/>
    </row>
    <row r="138">
      <c r="D138" s="22"/>
      <c r="H138" s="22"/>
    </row>
    <row r="139">
      <c r="D139" s="22"/>
      <c r="H139" s="22"/>
    </row>
    <row r="140">
      <c r="D140" s="22"/>
      <c r="H140" s="22"/>
    </row>
    <row r="141">
      <c r="D141" s="22"/>
      <c r="H141" s="22"/>
    </row>
    <row r="142">
      <c r="D142" s="22"/>
      <c r="H142" s="22"/>
    </row>
    <row r="143">
      <c r="D143" s="22"/>
      <c r="H143" s="22"/>
    </row>
    <row r="144">
      <c r="D144" s="22"/>
      <c r="H144" s="22"/>
    </row>
    <row r="145">
      <c r="D145" s="22"/>
      <c r="H145" s="22"/>
    </row>
    <row r="146">
      <c r="D146" s="22"/>
      <c r="H146" s="22"/>
    </row>
    <row r="147">
      <c r="D147" s="22"/>
      <c r="H147" s="22"/>
    </row>
    <row r="148">
      <c r="D148" s="22"/>
      <c r="H148" s="22"/>
    </row>
    <row r="149">
      <c r="D149" s="22"/>
      <c r="H149" s="22"/>
    </row>
    <row r="150">
      <c r="D150" s="22"/>
      <c r="H150" s="22"/>
    </row>
    <row r="151">
      <c r="D151" s="22"/>
      <c r="H151" s="22"/>
    </row>
    <row r="152">
      <c r="D152" s="22"/>
      <c r="H152" s="22"/>
    </row>
    <row r="153">
      <c r="D153" s="22"/>
      <c r="H153" s="22"/>
    </row>
    <row r="154">
      <c r="D154" s="22"/>
      <c r="H154" s="22"/>
    </row>
    <row r="155">
      <c r="D155" s="22"/>
      <c r="H155" s="22"/>
    </row>
    <row r="156">
      <c r="D156" s="22"/>
      <c r="H156" s="22"/>
    </row>
    <row r="157">
      <c r="D157" s="22"/>
      <c r="H157" s="22"/>
    </row>
    <row r="158">
      <c r="D158" s="22"/>
      <c r="H158" s="22"/>
    </row>
    <row r="159">
      <c r="D159" s="22"/>
      <c r="H159" s="22"/>
    </row>
    <row r="160">
      <c r="D160" s="22"/>
      <c r="H160" s="22"/>
    </row>
    <row r="161">
      <c r="D161" s="22"/>
      <c r="H161" s="22"/>
    </row>
    <row r="162">
      <c r="D162" s="22"/>
      <c r="H162" s="22"/>
    </row>
    <row r="163">
      <c r="D163" s="22"/>
      <c r="H163" s="22"/>
    </row>
    <row r="164">
      <c r="D164" s="22"/>
      <c r="H164" s="22"/>
    </row>
    <row r="165">
      <c r="D165" s="22"/>
      <c r="H165" s="22"/>
    </row>
    <row r="166">
      <c r="D166" s="22"/>
      <c r="H166" s="22"/>
    </row>
    <row r="167">
      <c r="D167" s="22"/>
      <c r="H167" s="22"/>
    </row>
    <row r="168">
      <c r="D168" s="22"/>
      <c r="H168" s="22"/>
    </row>
    <row r="169">
      <c r="D169" s="22"/>
      <c r="H169" s="22"/>
    </row>
    <row r="170">
      <c r="D170" s="22"/>
      <c r="H170" s="22"/>
    </row>
    <row r="171">
      <c r="D171" s="22"/>
      <c r="H171" s="22"/>
    </row>
    <row r="172">
      <c r="D172" s="22"/>
      <c r="H172" s="22"/>
    </row>
    <row r="173">
      <c r="D173" s="22"/>
      <c r="H173" s="22"/>
    </row>
    <row r="174">
      <c r="D174" s="22"/>
      <c r="H174" s="22"/>
    </row>
    <row r="175">
      <c r="D175" s="22"/>
      <c r="H175" s="22"/>
    </row>
    <row r="176">
      <c r="D176" s="22"/>
      <c r="H176" s="22"/>
    </row>
    <row r="177">
      <c r="D177" s="22"/>
      <c r="H177" s="22"/>
    </row>
    <row r="178">
      <c r="D178" s="22"/>
      <c r="H178" s="22"/>
    </row>
    <row r="179">
      <c r="D179" s="22"/>
      <c r="H179" s="22"/>
    </row>
    <row r="180">
      <c r="D180" s="22"/>
      <c r="H180" s="22"/>
    </row>
    <row r="181">
      <c r="D181" s="22"/>
      <c r="H181" s="22"/>
    </row>
    <row r="182">
      <c r="D182" s="22"/>
      <c r="H182" s="22"/>
    </row>
    <row r="183">
      <c r="D183" s="22"/>
      <c r="H183" s="22"/>
    </row>
    <row r="184">
      <c r="D184" s="22"/>
      <c r="H184" s="22"/>
    </row>
    <row r="185">
      <c r="D185" s="22"/>
      <c r="H185" s="22"/>
    </row>
    <row r="186">
      <c r="D186" s="22"/>
      <c r="H186" s="22"/>
    </row>
    <row r="187">
      <c r="D187" s="22"/>
      <c r="H187" s="22"/>
    </row>
    <row r="188">
      <c r="D188" s="22"/>
      <c r="H188" s="22"/>
    </row>
    <row r="189">
      <c r="D189" s="22"/>
      <c r="H189" s="22"/>
    </row>
    <row r="190">
      <c r="D190" s="22"/>
      <c r="H190" s="22"/>
    </row>
    <row r="191">
      <c r="D191" s="22"/>
      <c r="H191" s="22"/>
    </row>
    <row r="192">
      <c r="D192" s="22"/>
      <c r="H192" s="22"/>
    </row>
    <row r="193">
      <c r="D193" s="22"/>
      <c r="H193" s="22"/>
    </row>
    <row r="194">
      <c r="D194" s="22"/>
      <c r="H194" s="22"/>
    </row>
    <row r="195">
      <c r="D195" s="22"/>
      <c r="H195" s="22"/>
    </row>
    <row r="196">
      <c r="D196" s="22"/>
      <c r="H196" s="22"/>
    </row>
    <row r="197">
      <c r="D197" s="22"/>
      <c r="H197" s="22"/>
    </row>
    <row r="198">
      <c r="D198" s="22"/>
      <c r="H198" s="22"/>
    </row>
    <row r="199">
      <c r="D199" s="22"/>
      <c r="H199" s="22"/>
    </row>
    <row r="200">
      <c r="D200" s="22"/>
      <c r="H200" s="22"/>
    </row>
    <row r="201">
      <c r="D201" s="22"/>
      <c r="H201" s="22"/>
    </row>
    <row r="202">
      <c r="D202" s="22"/>
      <c r="H202" s="22"/>
    </row>
    <row r="203">
      <c r="D203" s="22"/>
      <c r="H203" s="22"/>
    </row>
    <row r="204">
      <c r="D204" s="22"/>
      <c r="H204" s="22"/>
    </row>
    <row r="205">
      <c r="D205" s="22"/>
      <c r="H205" s="22"/>
    </row>
    <row r="206">
      <c r="D206" s="22"/>
      <c r="H206" s="22"/>
    </row>
    <row r="207">
      <c r="D207" s="22"/>
      <c r="H207" s="22"/>
    </row>
    <row r="208">
      <c r="D208" s="22"/>
      <c r="H208" s="22"/>
    </row>
    <row r="209">
      <c r="D209" s="22"/>
      <c r="H209" s="22"/>
    </row>
    <row r="210">
      <c r="D210" s="22"/>
      <c r="H210" s="22"/>
    </row>
    <row r="211">
      <c r="D211" s="22"/>
      <c r="H211" s="22"/>
    </row>
    <row r="212">
      <c r="D212" s="22"/>
      <c r="H212" s="22"/>
    </row>
    <row r="213">
      <c r="D213" s="22"/>
      <c r="H213" s="22"/>
    </row>
    <row r="214">
      <c r="D214" s="22"/>
      <c r="H214" s="22"/>
    </row>
    <row r="215">
      <c r="D215" s="22"/>
      <c r="H215" s="22"/>
    </row>
    <row r="216">
      <c r="D216" s="22"/>
      <c r="H216" s="22"/>
    </row>
    <row r="217">
      <c r="D217" s="22"/>
      <c r="H217" s="22"/>
    </row>
    <row r="218">
      <c r="D218" s="22"/>
      <c r="H218" s="22"/>
    </row>
    <row r="219">
      <c r="D219" s="22"/>
      <c r="H219" s="22"/>
    </row>
    <row r="220">
      <c r="D220" s="22"/>
      <c r="H220" s="22"/>
    </row>
    <row r="221">
      <c r="D221" s="22"/>
      <c r="H221" s="22"/>
    </row>
    <row r="222">
      <c r="D222" s="22"/>
      <c r="H222" s="22"/>
    </row>
    <row r="223">
      <c r="D223" s="22"/>
      <c r="H223" s="22"/>
    </row>
    <row r="224">
      <c r="D224" s="22"/>
      <c r="H224" s="22"/>
    </row>
    <row r="225">
      <c r="D225" s="22"/>
      <c r="H225" s="22"/>
    </row>
    <row r="226">
      <c r="D226" s="22"/>
      <c r="H226" s="22"/>
    </row>
    <row r="227">
      <c r="D227" s="22"/>
      <c r="H227" s="22"/>
    </row>
    <row r="228">
      <c r="D228" s="22"/>
      <c r="H228" s="22"/>
    </row>
    <row r="229">
      <c r="D229" s="22"/>
      <c r="H229" s="22"/>
    </row>
    <row r="230">
      <c r="D230" s="22"/>
      <c r="H230" s="22"/>
    </row>
    <row r="231">
      <c r="D231" s="22"/>
      <c r="H231" s="22"/>
    </row>
    <row r="232">
      <c r="D232" s="22"/>
      <c r="H232" s="22"/>
    </row>
    <row r="233">
      <c r="D233" s="22"/>
      <c r="H233" s="22"/>
    </row>
    <row r="234">
      <c r="D234" s="22"/>
      <c r="H234" s="22"/>
    </row>
    <row r="235">
      <c r="D235" s="22"/>
      <c r="H235" s="22"/>
    </row>
    <row r="236">
      <c r="D236" s="22"/>
      <c r="H236" s="22"/>
    </row>
    <row r="237">
      <c r="D237" s="22"/>
      <c r="H237" s="22"/>
    </row>
    <row r="238">
      <c r="D238" s="22"/>
      <c r="H238" s="22"/>
    </row>
    <row r="239">
      <c r="D239" s="22"/>
      <c r="H239" s="22"/>
    </row>
    <row r="240">
      <c r="D240" s="22"/>
      <c r="H240" s="22"/>
    </row>
    <row r="241">
      <c r="D241" s="22"/>
      <c r="H241" s="22"/>
    </row>
    <row r="242">
      <c r="D242" s="22"/>
      <c r="H242" s="22"/>
    </row>
    <row r="243">
      <c r="D243" s="22"/>
      <c r="H243" s="22"/>
    </row>
    <row r="244">
      <c r="D244" s="22"/>
      <c r="H244" s="22"/>
    </row>
    <row r="245">
      <c r="D245" s="22"/>
      <c r="H245" s="22"/>
    </row>
    <row r="246">
      <c r="D246" s="22"/>
      <c r="H246" s="22"/>
    </row>
    <row r="247">
      <c r="D247" s="22"/>
      <c r="H247" s="22"/>
    </row>
    <row r="248">
      <c r="D248" s="22"/>
      <c r="H248" s="22"/>
    </row>
    <row r="249">
      <c r="D249" s="22"/>
      <c r="H249" s="22"/>
    </row>
    <row r="250">
      <c r="D250" s="22"/>
      <c r="H250" s="22"/>
    </row>
    <row r="251">
      <c r="D251" s="22"/>
      <c r="H251" s="22"/>
    </row>
    <row r="252">
      <c r="D252" s="22"/>
      <c r="H252" s="22"/>
    </row>
    <row r="253">
      <c r="D253" s="22"/>
      <c r="H253" s="22"/>
    </row>
    <row r="254">
      <c r="D254" s="22"/>
      <c r="H254" s="22"/>
    </row>
    <row r="255">
      <c r="D255" s="22"/>
      <c r="H255" s="22"/>
    </row>
    <row r="256">
      <c r="D256" s="22"/>
      <c r="H256" s="22"/>
    </row>
    <row r="257">
      <c r="D257" s="22"/>
      <c r="H257" s="22"/>
    </row>
    <row r="258">
      <c r="D258" s="22"/>
      <c r="H258" s="22"/>
    </row>
    <row r="259">
      <c r="D259" s="22"/>
      <c r="H259" s="22"/>
    </row>
    <row r="260">
      <c r="D260" s="22"/>
      <c r="H260" s="22"/>
    </row>
    <row r="261">
      <c r="D261" s="22"/>
      <c r="H261" s="22"/>
    </row>
    <row r="262">
      <c r="D262" s="22"/>
      <c r="H262" s="22"/>
    </row>
    <row r="263">
      <c r="D263" s="22"/>
      <c r="H263" s="22"/>
    </row>
    <row r="264">
      <c r="D264" s="22"/>
      <c r="H264" s="22"/>
    </row>
    <row r="265">
      <c r="D265" s="22"/>
      <c r="H265" s="22"/>
    </row>
    <row r="266">
      <c r="D266" s="22"/>
      <c r="H266" s="22"/>
    </row>
    <row r="267">
      <c r="D267" s="22"/>
      <c r="H267" s="22"/>
    </row>
    <row r="268">
      <c r="D268" s="22"/>
      <c r="H268" s="22"/>
    </row>
    <row r="269">
      <c r="D269" s="22"/>
      <c r="H269" s="22"/>
    </row>
    <row r="270">
      <c r="D270" s="22"/>
      <c r="H270" s="22"/>
    </row>
    <row r="271">
      <c r="D271" s="22"/>
      <c r="H271" s="22"/>
    </row>
    <row r="272">
      <c r="D272" s="22"/>
      <c r="H272" s="22"/>
    </row>
    <row r="273">
      <c r="D273" s="22"/>
      <c r="H273" s="22"/>
    </row>
    <row r="274">
      <c r="D274" s="22"/>
      <c r="H274" s="22"/>
    </row>
    <row r="275">
      <c r="D275" s="22"/>
      <c r="H275" s="22"/>
    </row>
    <row r="276">
      <c r="D276" s="22"/>
      <c r="H276" s="22"/>
    </row>
    <row r="277">
      <c r="D277" s="22"/>
      <c r="H277" s="22"/>
    </row>
    <row r="278">
      <c r="D278" s="22"/>
      <c r="H278" s="22"/>
    </row>
    <row r="279">
      <c r="D279" s="22"/>
      <c r="H279" s="22"/>
    </row>
    <row r="280">
      <c r="D280" s="22"/>
      <c r="H280" s="22"/>
    </row>
    <row r="281">
      <c r="D281" s="22"/>
      <c r="H281" s="22"/>
    </row>
    <row r="282">
      <c r="D282" s="22"/>
      <c r="H282" s="22"/>
    </row>
    <row r="283">
      <c r="D283" s="22"/>
      <c r="H283" s="22"/>
    </row>
    <row r="284">
      <c r="D284" s="22"/>
      <c r="H284" s="22"/>
    </row>
    <row r="285">
      <c r="D285" s="22"/>
      <c r="H285" s="22"/>
    </row>
    <row r="286">
      <c r="D286" s="22"/>
      <c r="H286" s="22"/>
    </row>
    <row r="287">
      <c r="D287" s="22"/>
      <c r="H287" s="22"/>
    </row>
    <row r="288">
      <c r="D288" s="22"/>
      <c r="H288" s="22"/>
    </row>
    <row r="289">
      <c r="D289" s="22"/>
      <c r="H289" s="22"/>
    </row>
    <row r="290">
      <c r="D290" s="22"/>
      <c r="H290" s="22"/>
    </row>
    <row r="291">
      <c r="D291" s="22"/>
      <c r="H291" s="22"/>
    </row>
    <row r="292">
      <c r="D292" s="22"/>
      <c r="H292" s="22"/>
    </row>
    <row r="293">
      <c r="D293" s="22"/>
      <c r="H293" s="22"/>
    </row>
    <row r="294">
      <c r="D294" s="22"/>
      <c r="H294" s="22"/>
    </row>
    <row r="295">
      <c r="D295" s="22"/>
      <c r="H295" s="22"/>
    </row>
    <row r="296">
      <c r="D296" s="22"/>
      <c r="H296" s="22"/>
    </row>
    <row r="297">
      <c r="D297" s="22"/>
      <c r="H297" s="22"/>
    </row>
    <row r="298">
      <c r="D298" s="22"/>
      <c r="H298" s="22"/>
    </row>
    <row r="299">
      <c r="D299" s="22"/>
      <c r="H299" s="22"/>
    </row>
    <row r="300">
      <c r="D300" s="22"/>
      <c r="H300" s="22"/>
    </row>
    <row r="301">
      <c r="D301" s="22"/>
      <c r="H301" s="22"/>
    </row>
    <row r="302">
      <c r="D302" s="22"/>
      <c r="H302" s="22"/>
    </row>
    <row r="303">
      <c r="D303" s="22"/>
      <c r="H303" s="22"/>
    </row>
    <row r="304">
      <c r="D304" s="22"/>
      <c r="H304" s="22"/>
    </row>
    <row r="305">
      <c r="D305" s="22"/>
      <c r="H305" s="22"/>
    </row>
    <row r="306">
      <c r="D306" s="22"/>
      <c r="H306" s="22"/>
    </row>
    <row r="307">
      <c r="D307" s="22"/>
      <c r="H307" s="22"/>
    </row>
    <row r="308">
      <c r="D308" s="22"/>
      <c r="H308" s="22"/>
    </row>
    <row r="309">
      <c r="D309" s="22"/>
      <c r="H309" s="22"/>
    </row>
    <row r="310">
      <c r="D310" s="22"/>
      <c r="H310" s="22"/>
    </row>
    <row r="311">
      <c r="D311" s="22"/>
      <c r="H311" s="22"/>
    </row>
    <row r="312">
      <c r="D312" s="22"/>
      <c r="H312" s="22"/>
    </row>
    <row r="313">
      <c r="D313" s="22"/>
      <c r="H313" s="22"/>
    </row>
    <row r="314">
      <c r="D314" s="22"/>
      <c r="H314" s="22"/>
    </row>
    <row r="315">
      <c r="D315" s="22"/>
      <c r="H315" s="22"/>
    </row>
    <row r="316">
      <c r="D316" s="22"/>
      <c r="H316" s="22"/>
    </row>
    <row r="317">
      <c r="D317" s="22"/>
      <c r="H317" s="22"/>
    </row>
    <row r="318">
      <c r="D318" s="22"/>
      <c r="H318" s="22"/>
    </row>
    <row r="319">
      <c r="D319" s="22"/>
      <c r="H319" s="22"/>
    </row>
    <row r="320">
      <c r="D320" s="22"/>
      <c r="H320" s="22"/>
    </row>
    <row r="321">
      <c r="D321" s="22"/>
      <c r="H321" s="22"/>
    </row>
    <row r="322">
      <c r="D322" s="22"/>
      <c r="H322" s="22"/>
    </row>
    <row r="323">
      <c r="D323" s="22"/>
      <c r="H323" s="22"/>
    </row>
    <row r="324">
      <c r="D324" s="22"/>
      <c r="H324" s="22"/>
    </row>
    <row r="325">
      <c r="D325" s="22"/>
      <c r="H325" s="22"/>
    </row>
    <row r="326">
      <c r="D326" s="22"/>
      <c r="H326" s="22"/>
    </row>
    <row r="327">
      <c r="D327" s="22"/>
      <c r="H327" s="22"/>
    </row>
    <row r="328">
      <c r="D328" s="22"/>
      <c r="H328" s="22"/>
    </row>
    <row r="329">
      <c r="D329" s="22"/>
      <c r="H329" s="22"/>
    </row>
    <row r="330">
      <c r="D330" s="22"/>
      <c r="H330" s="22"/>
    </row>
    <row r="331">
      <c r="D331" s="22"/>
      <c r="H331" s="22"/>
    </row>
    <row r="332">
      <c r="D332" s="22"/>
      <c r="H332" s="22"/>
    </row>
    <row r="333">
      <c r="D333" s="22"/>
      <c r="H333" s="22"/>
    </row>
    <row r="334">
      <c r="D334" s="22"/>
      <c r="H334" s="22"/>
    </row>
    <row r="335">
      <c r="D335" s="22"/>
      <c r="H335" s="22"/>
    </row>
    <row r="336">
      <c r="D336" s="22"/>
      <c r="H336" s="22"/>
    </row>
    <row r="337">
      <c r="D337" s="22"/>
      <c r="H337" s="22"/>
    </row>
    <row r="338">
      <c r="D338" s="22"/>
      <c r="H338" s="22"/>
    </row>
    <row r="339">
      <c r="D339" s="22"/>
      <c r="H339" s="22"/>
    </row>
    <row r="340">
      <c r="D340" s="22"/>
      <c r="H340" s="22"/>
    </row>
    <row r="341">
      <c r="D341" s="22"/>
      <c r="H341" s="22"/>
    </row>
    <row r="342">
      <c r="D342" s="22"/>
      <c r="H342" s="22"/>
    </row>
    <row r="343">
      <c r="D343" s="22"/>
      <c r="H343" s="22"/>
    </row>
    <row r="344">
      <c r="D344" s="22"/>
      <c r="H344" s="22"/>
    </row>
    <row r="345">
      <c r="D345" s="22"/>
      <c r="H345" s="22"/>
    </row>
    <row r="346">
      <c r="D346" s="22"/>
      <c r="H346" s="22"/>
    </row>
    <row r="347">
      <c r="D347" s="22"/>
      <c r="H347" s="22"/>
    </row>
    <row r="348">
      <c r="D348" s="22"/>
      <c r="H348" s="22"/>
    </row>
    <row r="349">
      <c r="D349" s="22"/>
      <c r="H349" s="22"/>
    </row>
    <row r="350">
      <c r="D350" s="22"/>
      <c r="H350" s="22"/>
    </row>
    <row r="351">
      <c r="D351" s="22"/>
      <c r="H351" s="22"/>
    </row>
    <row r="352">
      <c r="D352" s="22"/>
      <c r="H352" s="22"/>
    </row>
    <row r="353">
      <c r="D353" s="22"/>
      <c r="H353" s="22"/>
    </row>
    <row r="354">
      <c r="D354" s="22"/>
      <c r="H354" s="22"/>
    </row>
    <row r="355">
      <c r="D355" s="22"/>
      <c r="H355" s="22"/>
    </row>
    <row r="356">
      <c r="D356" s="22"/>
      <c r="H356" s="22"/>
    </row>
    <row r="357">
      <c r="D357" s="22"/>
      <c r="H357" s="22"/>
    </row>
    <row r="358">
      <c r="D358" s="22"/>
      <c r="H358" s="22"/>
    </row>
    <row r="359">
      <c r="D359" s="22"/>
      <c r="H359" s="22"/>
    </row>
    <row r="360">
      <c r="D360" s="22"/>
      <c r="H360" s="22"/>
    </row>
    <row r="361">
      <c r="D361" s="22"/>
      <c r="H361" s="22"/>
    </row>
    <row r="362">
      <c r="D362" s="22"/>
      <c r="H362" s="22"/>
    </row>
    <row r="363">
      <c r="D363" s="22"/>
      <c r="H363" s="22"/>
    </row>
    <row r="364">
      <c r="D364" s="22"/>
      <c r="H364" s="22"/>
    </row>
    <row r="365">
      <c r="D365" s="22"/>
      <c r="H365" s="22"/>
    </row>
    <row r="366">
      <c r="D366" s="22"/>
      <c r="H366" s="22"/>
    </row>
    <row r="367">
      <c r="D367" s="22"/>
      <c r="H367" s="22"/>
    </row>
    <row r="368">
      <c r="D368" s="22"/>
      <c r="H368" s="22"/>
    </row>
    <row r="369">
      <c r="D369" s="22"/>
      <c r="H369" s="22"/>
    </row>
    <row r="370">
      <c r="D370" s="22"/>
      <c r="H370" s="22"/>
    </row>
    <row r="371">
      <c r="D371" s="22"/>
      <c r="H371" s="22"/>
    </row>
    <row r="372">
      <c r="D372" s="22"/>
      <c r="H372" s="22"/>
    </row>
    <row r="373">
      <c r="D373" s="22"/>
      <c r="H373" s="22"/>
    </row>
    <row r="374">
      <c r="D374" s="22"/>
      <c r="H374" s="22"/>
    </row>
    <row r="375">
      <c r="D375" s="22"/>
      <c r="H375" s="22"/>
    </row>
    <row r="376">
      <c r="D376" s="22"/>
      <c r="H376" s="22"/>
    </row>
    <row r="377">
      <c r="D377" s="22"/>
      <c r="H377" s="22"/>
    </row>
    <row r="378">
      <c r="D378" s="22"/>
      <c r="H378" s="22"/>
    </row>
    <row r="379">
      <c r="D379" s="22"/>
      <c r="H379" s="22"/>
    </row>
    <row r="380">
      <c r="D380" s="22"/>
      <c r="H380" s="22"/>
    </row>
    <row r="381">
      <c r="D381" s="22"/>
      <c r="H381" s="22"/>
    </row>
    <row r="382">
      <c r="D382" s="22"/>
      <c r="H382" s="22"/>
    </row>
    <row r="383">
      <c r="D383" s="22"/>
      <c r="H383" s="22"/>
    </row>
    <row r="384">
      <c r="D384" s="22"/>
      <c r="H384" s="22"/>
    </row>
    <row r="385">
      <c r="D385" s="22"/>
      <c r="H385" s="22"/>
    </row>
    <row r="386">
      <c r="D386" s="22"/>
      <c r="H386" s="22"/>
    </row>
    <row r="387">
      <c r="D387" s="22"/>
      <c r="H387" s="22"/>
    </row>
    <row r="388">
      <c r="D388" s="22"/>
      <c r="H388" s="22"/>
    </row>
    <row r="389">
      <c r="D389" s="22"/>
      <c r="H389" s="22"/>
    </row>
    <row r="390">
      <c r="D390" s="22"/>
      <c r="H390" s="22"/>
    </row>
    <row r="391">
      <c r="D391" s="22"/>
      <c r="H391" s="22"/>
    </row>
    <row r="392">
      <c r="D392" s="22"/>
      <c r="H392" s="22"/>
    </row>
    <row r="393">
      <c r="D393" s="22"/>
      <c r="H393" s="22"/>
    </row>
    <row r="394">
      <c r="D394" s="22"/>
      <c r="H394" s="22"/>
    </row>
    <row r="395">
      <c r="D395" s="22"/>
      <c r="H395" s="22"/>
    </row>
    <row r="396">
      <c r="D396" s="22"/>
      <c r="H396" s="22"/>
    </row>
    <row r="397">
      <c r="D397" s="22"/>
      <c r="H397" s="22"/>
    </row>
    <row r="398">
      <c r="D398" s="22"/>
      <c r="H398" s="22"/>
    </row>
    <row r="399">
      <c r="D399" s="22"/>
      <c r="H399" s="22"/>
    </row>
    <row r="400">
      <c r="D400" s="22"/>
      <c r="H400" s="22"/>
    </row>
    <row r="401">
      <c r="D401" s="22"/>
      <c r="H401" s="22"/>
    </row>
    <row r="402">
      <c r="D402" s="22"/>
      <c r="H402" s="22"/>
    </row>
    <row r="403">
      <c r="D403" s="22"/>
      <c r="H403" s="22"/>
    </row>
    <row r="404">
      <c r="D404" s="22"/>
      <c r="H404" s="22"/>
    </row>
    <row r="405">
      <c r="D405" s="22"/>
      <c r="H405" s="22"/>
    </row>
    <row r="406">
      <c r="D406" s="22"/>
      <c r="H406" s="22"/>
    </row>
    <row r="407">
      <c r="D407" s="22"/>
      <c r="H407" s="22"/>
    </row>
    <row r="408">
      <c r="D408" s="22"/>
      <c r="H408" s="22"/>
    </row>
    <row r="409">
      <c r="D409" s="22"/>
      <c r="H409" s="22"/>
    </row>
    <row r="410">
      <c r="D410" s="22"/>
      <c r="H410" s="22"/>
    </row>
    <row r="411">
      <c r="D411" s="22"/>
      <c r="H411" s="22"/>
    </row>
    <row r="412">
      <c r="D412" s="22"/>
      <c r="H412" s="22"/>
    </row>
    <row r="413">
      <c r="D413" s="22"/>
      <c r="H413" s="22"/>
    </row>
    <row r="414">
      <c r="D414" s="22"/>
      <c r="H414" s="22"/>
    </row>
    <row r="415">
      <c r="D415" s="22"/>
      <c r="H415" s="22"/>
    </row>
    <row r="416">
      <c r="D416" s="22"/>
      <c r="H416" s="22"/>
    </row>
    <row r="417">
      <c r="D417" s="22"/>
      <c r="H417" s="22"/>
    </row>
    <row r="418">
      <c r="D418" s="22"/>
      <c r="H418" s="22"/>
    </row>
    <row r="419">
      <c r="D419" s="22"/>
      <c r="H419" s="22"/>
    </row>
    <row r="420">
      <c r="D420" s="22"/>
      <c r="H420" s="22"/>
    </row>
    <row r="421">
      <c r="D421" s="22"/>
      <c r="H421" s="22"/>
    </row>
    <row r="422">
      <c r="D422" s="22"/>
      <c r="H422" s="22"/>
    </row>
    <row r="423">
      <c r="D423" s="22"/>
      <c r="H423" s="22"/>
    </row>
    <row r="424">
      <c r="D424" s="22"/>
      <c r="H424" s="22"/>
    </row>
    <row r="425">
      <c r="D425" s="22"/>
      <c r="H425" s="22"/>
    </row>
    <row r="426">
      <c r="D426" s="22"/>
      <c r="H426" s="22"/>
    </row>
    <row r="427">
      <c r="D427" s="22"/>
      <c r="H427" s="22"/>
    </row>
    <row r="428">
      <c r="D428" s="22"/>
      <c r="H428" s="22"/>
    </row>
    <row r="429">
      <c r="D429" s="22"/>
      <c r="H429" s="22"/>
    </row>
    <row r="430">
      <c r="D430" s="22"/>
      <c r="H430" s="22"/>
    </row>
    <row r="431">
      <c r="D431" s="22"/>
      <c r="H431" s="22"/>
    </row>
    <row r="432">
      <c r="D432" s="22"/>
      <c r="H432" s="22"/>
    </row>
    <row r="433">
      <c r="D433" s="22"/>
      <c r="H433" s="22"/>
    </row>
    <row r="434">
      <c r="D434" s="22"/>
      <c r="H434" s="22"/>
    </row>
    <row r="435">
      <c r="D435" s="22"/>
      <c r="H435" s="22"/>
    </row>
    <row r="436">
      <c r="D436" s="22"/>
      <c r="H436" s="22"/>
    </row>
    <row r="437">
      <c r="D437" s="22"/>
      <c r="H437" s="22"/>
    </row>
    <row r="438">
      <c r="D438" s="22"/>
      <c r="H438" s="22"/>
    </row>
    <row r="439">
      <c r="D439" s="22"/>
      <c r="H439" s="22"/>
    </row>
    <row r="440">
      <c r="D440" s="22"/>
      <c r="H440" s="22"/>
    </row>
    <row r="441">
      <c r="D441" s="22"/>
      <c r="H441" s="22"/>
    </row>
    <row r="442">
      <c r="D442" s="22"/>
      <c r="H442" s="22"/>
    </row>
    <row r="443">
      <c r="D443" s="22"/>
      <c r="H443" s="22"/>
    </row>
    <row r="444">
      <c r="D444" s="22"/>
      <c r="H444" s="22"/>
    </row>
    <row r="445">
      <c r="D445" s="22"/>
      <c r="H445" s="22"/>
    </row>
    <row r="446">
      <c r="D446" s="22"/>
      <c r="H446" s="22"/>
    </row>
    <row r="447">
      <c r="D447" s="22"/>
      <c r="H447" s="22"/>
    </row>
    <row r="448">
      <c r="D448" s="22"/>
      <c r="H448" s="22"/>
    </row>
    <row r="449">
      <c r="D449" s="22"/>
      <c r="H449" s="22"/>
    </row>
    <row r="450">
      <c r="D450" s="22"/>
      <c r="H450" s="22"/>
    </row>
    <row r="451">
      <c r="D451" s="22"/>
      <c r="H451" s="22"/>
    </row>
    <row r="452">
      <c r="D452" s="22"/>
      <c r="H452" s="22"/>
    </row>
    <row r="453">
      <c r="D453" s="22"/>
      <c r="H453" s="22"/>
    </row>
    <row r="454">
      <c r="D454" s="22"/>
      <c r="H454" s="22"/>
    </row>
    <row r="455">
      <c r="D455" s="22"/>
      <c r="H455" s="22"/>
    </row>
    <row r="456">
      <c r="D456" s="22"/>
      <c r="H456" s="22"/>
    </row>
    <row r="457">
      <c r="D457" s="22"/>
      <c r="H457" s="22"/>
    </row>
    <row r="458">
      <c r="D458" s="22"/>
      <c r="H458" s="22"/>
    </row>
    <row r="459">
      <c r="D459" s="22"/>
      <c r="H459" s="22"/>
    </row>
    <row r="460">
      <c r="D460" s="22"/>
      <c r="H460" s="22"/>
    </row>
    <row r="461">
      <c r="D461" s="22"/>
      <c r="H461" s="22"/>
    </row>
    <row r="462">
      <c r="D462" s="22"/>
      <c r="H462" s="22"/>
    </row>
    <row r="463">
      <c r="D463" s="22"/>
      <c r="H463" s="22"/>
    </row>
    <row r="464">
      <c r="D464" s="22"/>
      <c r="H464" s="22"/>
    </row>
    <row r="465">
      <c r="D465" s="22"/>
      <c r="H465" s="22"/>
    </row>
    <row r="466">
      <c r="D466" s="22"/>
      <c r="H466" s="22"/>
    </row>
    <row r="467">
      <c r="D467" s="22"/>
      <c r="H467" s="22"/>
    </row>
    <row r="468">
      <c r="D468" s="22"/>
      <c r="H468" s="22"/>
    </row>
    <row r="469">
      <c r="D469" s="22"/>
      <c r="H469" s="22"/>
    </row>
    <row r="470">
      <c r="D470" s="22"/>
      <c r="H470" s="22"/>
    </row>
    <row r="471">
      <c r="D471" s="22"/>
      <c r="H471" s="22"/>
    </row>
    <row r="472">
      <c r="D472" s="22"/>
      <c r="H472" s="22"/>
    </row>
    <row r="473">
      <c r="D473" s="22"/>
      <c r="H473" s="22"/>
    </row>
    <row r="474">
      <c r="D474" s="22"/>
      <c r="H474" s="22"/>
    </row>
    <row r="475">
      <c r="D475" s="22"/>
      <c r="H475" s="22"/>
    </row>
    <row r="476">
      <c r="D476" s="22"/>
      <c r="H476" s="22"/>
    </row>
    <row r="477">
      <c r="D477" s="22"/>
      <c r="H477" s="22"/>
    </row>
    <row r="478">
      <c r="D478" s="22"/>
      <c r="H478" s="22"/>
    </row>
    <row r="479">
      <c r="D479" s="22"/>
      <c r="H479" s="22"/>
    </row>
    <row r="480">
      <c r="D480" s="22"/>
      <c r="H480" s="22"/>
    </row>
    <row r="481">
      <c r="D481" s="22"/>
      <c r="H481" s="22"/>
    </row>
    <row r="482">
      <c r="D482" s="22"/>
      <c r="H482" s="22"/>
    </row>
    <row r="483">
      <c r="D483" s="22"/>
      <c r="H483" s="22"/>
    </row>
    <row r="484">
      <c r="D484" s="22"/>
      <c r="H484" s="22"/>
    </row>
    <row r="485">
      <c r="D485" s="22"/>
      <c r="H485" s="22"/>
    </row>
    <row r="486">
      <c r="D486" s="22"/>
      <c r="H486" s="22"/>
    </row>
    <row r="487">
      <c r="D487" s="22"/>
      <c r="H487" s="22"/>
    </row>
    <row r="488">
      <c r="D488" s="22"/>
      <c r="H488" s="22"/>
    </row>
    <row r="489">
      <c r="D489" s="22"/>
      <c r="H489" s="22"/>
    </row>
    <row r="490">
      <c r="D490" s="22"/>
      <c r="H490" s="22"/>
    </row>
    <row r="491">
      <c r="D491" s="22"/>
      <c r="H491" s="22"/>
    </row>
    <row r="492">
      <c r="D492" s="22"/>
      <c r="H492" s="22"/>
    </row>
    <row r="493">
      <c r="D493" s="22"/>
      <c r="H493" s="22"/>
    </row>
    <row r="494">
      <c r="D494" s="22"/>
      <c r="H494" s="22"/>
    </row>
    <row r="495">
      <c r="D495" s="22"/>
      <c r="H495" s="22"/>
    </row>
    <row r="496">
      <c r="D496" s="22"/>
      <c r="H496" s="22"/>
    </row>
    <row r="497">
      <c r="D497" s="22"/>
      <c r="H497" s="22"/>
    </row>
    <row r="498">
      <c r="D498" s="22"/>
      <c r="H498" s="22"/>
    </row>
    <row r="499">
      <c r="D499" s="22"/>
      <c r="H499" s="22"/>
    </row>
    <row r="500">
      <c r="D500" s="22"/>
      <c r="H500" s="22"/>
    </row>
    <row r="501">
      <c r="D501" s="22"/>
      <c r="H501" s="22"/>
    </row>
    <row r="502">
      <c r="D502" s="22"/>
      <c r="H502" s="22"/>
    </row>
    <row r="503">
      <c r="D503" s="22"/>
      <c r="H503" s="22"/>
    </row>
    <row r="504">
      <c r="D504" s="22"/>
      <c r="H504" s="22"/>
    </row>
    <row r="505">
      <c r="D505" s="22"/>
      <c r="H505" s="22"/>
    </row>
    <row r="506">
      <c r="D506" s="22"/>
      <c r="H506" s="22"/>
    </row>
    <row r="507">
      <c r="D507" s="22"/>
      <c r="H507" s="22"/>
    </row>
    <row r="508">
      <c r="D508" s="22"/>
      <c r="H508" s="22"/>
    </row>
    <row r="509">
      <c r="D509" s="22"/>
      <c r="H509" s="22"/>
    </row>
    <row r="510">
      <c r="D510" s="22"/>
      <c r="H510" s="22"/>
    </row>
    <row r="511">
      <c r="D511" s="22"/>
      <c r="H511" s="22"/>
    </row>
    <row r="512">
      <c r="D512" s="22"/>
      <c r="H512" s="22"/>
    </row>
    <row r="513">
      <c r="D513" s="22"/>
      <c r="H513" s="22"/>
    </row>
    <row r="514">
      <c r="D514" s="22"/>
      <c r="H514" s="22"/>
    </row>
    <row r="515">
      <c r="D515" s="22"/>
      <c r="H515" s="22"/>
    </row>
    <row r="516">
      <c r="D516" s="22"/>
      <c r="H516" s="22"/>
    </row>
    <row r="517">
      <c r="D517" s="22"/>
      <c r="H517" s="22"/>
    </row>
    <row r="518">
      <c r="D518" s="22"/>
      <c r="H518" s="22"/>
    </row>
    <row r="519">
      <c r="D519" s="22"/>
      <c r="H519" s="22"/>
    </row>
    <row r="520">
      <c r="D520" s="22"/>
      <c r="H520" s="22"/>
    </row>
    <row r="521">
      <c r="D521" s="22"/>
      <c r="H521" s="22"/>
    </row>
    <row r="522">
      <c r="D522" s="22"/>
      <c r="H522" s="22"/>
    </row>
    <row r="523">
      <c r="D523" s="22"/>
      <c r="H523" s="22"/>
    </row>
    <row r="524">
      <c r="D524" s="22"/>
      <c r="H524" s="22"/>
    </row>
    <row r="525">
      <c r="D525" s="22"/>
      <c r="H525" s="22"/>
    </row>
    <row r="526">
      <c r="D526" s="22"/>
      <c r="H526" s="22"/>
    </row>
    <row r="527">
      <c r="D527" s="22"/>
      <c r="H527" s="22"/>
    </row>
    <row r="528">
      <c r="D528" s="22"/>
      <c r="H528" s="22"/>
    </row>
    <row r="529">
      <c r="D529" s="22"/>
      <c r="H529" s="22"/>
    </row>
    <row r="530">
      <c r="D530" s="22"/>
      <c r="H530" s="22"/>
    </row>
    <row r="531">
      <c r="D531" s="22"/>
      <c r="H531" s="22"/>
    </row>
    <row r="532">
      <c r="D532" s="22"/>
      <c r="H532" s="22"/>
    </row>
    <row r="533">
      <c r="D533" s="22"/>
      <c r="H533" s="22"/>
    </row>
    <row r="534">
      <c r="D534" s="22"/>
      <c r="H534" s="22"/>
    </row>
    <row r="535">
      <c r="D535" s="22"/>
      <c r="H535" s="22"/>
    </row>
    <row r="536">
      <c r="D536" s="22"/>
      <c r="H536" s="22"/>
    </row>
    <row r="537">
      <c r="D537" s="22"/>
      <c r="H537" s="22"/>
    </row>
    <row r="538">
      <c r="D538" s="22"/>
      <c r="H538" s="22"/>
    </row>
    <row r="539">
      <c r="D539" s="22"/>
      <c r="H539" s="22"/>
    </row>
    <row r="540">
      <c r="D540" s="22"/>
      <c r="H540" s="22"/>
    </row>
    <row r="541">
      <c r="D541" s="22"/>
      <c r="H541" s="22"/>
    </row>
    <row r="542">
      <c r="D542" s="22"/>
      <c r="H542" s="22"/>
    </row>
    <row r="543">
      <c r="D543" s="22"/>
      <c r="H543" s="22"/>
    </row>
    <row r="544">
      <c r="D544" s="22"/>
      <c r="H544" s="22"/>
    </row>
    <row r="545">
      <c r="D545" s="22"/>
      <c r="H545" s="22"/>
    </row>
    <row r="546">
      <c r="D546" s="22"/>
      <c r="H546" s="22"/>
    </row>
    <row r="547">
      <c r="D547" s="22"/>
      <c r="H547" s="22"/>
    </row>
    <row r="548">
      <c r="D548" s="22"/>
      <c r="H548" s="22"/>
    </row>
    <row r="549">
      <c r="D549" s="22"/>
      <c r="H549" s="22"/>
    </row>
    <row r="550">
      <c r="D550" s="22"/>
      <c r="H550" s="22"/>
    </row>
    <row r="551">
      <c r="D551" s="22"/>
      <c r="H551" s="22"/>
    </row>
    <row r="552">
      <c r="D552" s="22"/>
      <c r="H552" s="22"/>
    </row>
    <row r="553">
      <c r="D553" s="22"/>
      <c r="H553" s="22"/>
    </row>
    <row r="554">
      <c r="D554" s="22"/>
      <c r="H554" s="22"/>
    </row>
    <row r="555">
      <c r="D555" s="22"/>
      <c r="H555" s="22"/>
    </row>
    <row r="556">
      <c r="D556" s="22"/>
      <c r="H556" s="22"/>
    </row>
    <row r="557">
      <c r="D557" s="22"/>
      <c r="H557" s="22"/>
    </row>
    <row r="558">
      <c r="D558" s="22"/>
      <c r="H558" s="22"/>
    </row>
    <row r="559">
      <c r="D559" s="22"/>
      <c r="H559" s="22"/>
    </row>
    <row r="560">
      <c r="D560" s="22"/>
      <c r="H560" s="22"/>
    </row>
    <row r="561">
      <c r="D561" s="22"/>
      <c r="H561" s="22"/>
    </row>
    <row r="562">
      <c r="D562" s="22"/>
      <c r="H562" s="22"/>
    </row>
    <row r="563">
      <c r="D563" s="22"/>
      <c r="H563" s="22"/>
    </row>
    <row r="564">
      <c r="D564" s="22"/>
      <c r="H564" s="22"/>
    </row>
    <row r="565">
      <c r="D565" s="22"/>
      <c r="H565" s="22"/>
    </row>
    <row r="566">
      <c r="D566" s="22"/>
      <c r="H566" s="22"/>
    </row>
    <row r="567">
      <c r="D567" s="22"/>
      <c r="H567" s="22"/>
    </row>
    <row r="568">
      <c r="D568" s="22"/>
      <c r="H568" s="22"/>
    </row>
    <row r="569">
      <c r="D569" s="22"/>
      <c r="H569" s="22"/>
    </row>
    <row r="570">
      <c r="D570" s="22"/>
      <c r="H570" s="22"/>
    </row>
    <row r="571">
      <c r="D571" s="22"/>
      <c r="H571" s="22"/>
    </row>
    <row r="572">
      <c r="D572" s="22"/>
      <c r="H572" s="22"/>
    </row>
    <row r="573">
      <c r="D573" s="22"/>
      <c r="H573" s="22"/>
    </row>
    <row r="574">
      <c r="D574" s="22"/>
      <c r="H574" s="22"/>
    </row>
    <row r="575">
      <c r="D575" s="22"/>
      <c r="H575" s="22"/>
    </row>
    <row r="576">
      <c r="D576" s="22"/>
      <c r="H576" s="22"/>
    </row>
    <row r="577">
      <c r="D577" s="22"/>
      <c r="H577" s="22"/>
    </row>
    <row r="578">
      <c r="D578" s="22"/>
      <c r="H578" s="22"/>
    </row>
    <row r="579">
      <c r="D579" s="22"/>
      <c r="H579" s="22"/>
    </row>
    <row r="580">
      <c r="D580" s="22"/>
      <c r="H580" s="22"/>
    </row>
    <row r="581">
      <c r="D581" s="22"/>
      <c r="H581" s="22"/>
    </row>
    <row r="582">
      <c r="D582" s="22"/>
      <c r="H582" s="22"/>
    </row>
    <row r="583">
      <c r="D583" s="22"/>
      <c r="H583" s="22"/>
    </row>
    <row r="584">
      <c r="D584" s="22"/>
      <c r="H584" s="22"/>
    </row>
    <row r="585">
      <c r="D585" s="22"/>
      <c r="H585" s="22"/>
    </row>
    <row r="586">
      <c r="D586" s="22"/>
      <c r="H586" s="22"/>
    </row>
    <row r="587">
      <c r="D587" s="22"/>
      <c r="H587" s="22"/>
    </row>
    <row r="588">
      <c r="D588" s="22"/>
      <c r="H588" s="22"/>
    </row>
    <row r="589">
      <c r="D589" s="22"/>
      <c r="H589" s="22"/>
    </row>
    <row r="590">
      <c r="D590" s="22"/>
      <c r="H590" s="22"/>
    </row>
    <row r="591">
      <c r="D591" s="22"/>
      <c r="H591" s="22"/>
    </row>
    <row r="592">
      <c r="D592" s="22"/>
      <c r="H592" s="22"/>
    </row>
    <row r="593">
      <c r="D593" s="22"/>
      <c r="H593" s="22"/>
    </row>
    <row r="594">
      <c r="D594" s="22"/>
      <c r="H594" s="22"/>
    </row>
    <row r="595">
      <c r="D595" s="22"/>
      <c r="H595" s="22"/>
    </row>
    <row r="596">
      <c r="D596" s="22"/>
      <c r="H596" s="22"/>
    </row>
    <row r="597">
      <c r="D597" s="22"/>
      <c r="H597" s="22"/>
    </row>
    <row r="598">
      <c r="D598" s="22"/>
      <c r="H598" s="22"/>
    </row>
    <row r="599">
      <c r="D599" s="22"/>
      <c r="H599" s="22"/>
    </row>
    <row r="600">
      <c r="D600" s="22"/>
      <c r="H600" s="22"/>
    </row>
    <row r="601">
      <c r="D601" s="22"/>
      <c r="H601" s="22"/>
    </row>
    <row r="602">
      <c r="D602" s="22"/>
      <c r="H602" s="22"/>
    </row>
    <row r="603">
      <c r="D603" s="22"/>
      <c r="H603" s="22"/>
    </row>
    <row r="604">
      <c r="D604" s="22"/>
      <c r="H604" s="22"/>
    </row>
    <row r="605">
      <c r="D605" s="22"/>
      <c r="H605" s="22"/>
    </row>
    <row r="606">
      <c r="D606" s="22"/>
      <c r="H606" s="22"/>
    </row>
    <row r="607">
      <c r="D607" s="22"/>
      <c r="H607" s="22"/>
    </row>
    <row r="608">
      <c r="D608" s="22"/>
      <c r="H608" s="22"/>
    </row>
    <row r="609">
      <c r="D609" s="22"/>
      <c r="H609" s="22"/>
    </row>
    <row r="610">
      <c r="D610" s="22"/>
      <c r="H610" s="22"/>
    </row>
    <row r="611">
      <c r="D611" s="22"/>
      <c r="H611" s="22"/>
    </row>
    <row r="612">
      <c r="D612" s="22"/>
      <c r="H612" s="22"/>
    </row>
    <row r="613">
      <c r="D613" s="22"/>
      <c r="H613" s="22"/>
    </row>
    <row r="614">
      <c r="D614" s="22"/>
      <c r="H614" s="22"/>
    </row>
    <row r="615">
      <c r="D615" s="22"/>
      <c r="H615" s="22"/>
    </row>
    <row r="616">
      <c r="D616" s="22"/>
      <c r="H616" s="22"/>
    </row>
    <row r="617">
      <c r="D617" s="22"/>
      <c r="H617" s="22"/>
    </row>
    <row r="618">
      <c r="D618" s="22"/>
      <c r="H618" s="22"/>
    </row>
    <row r="619">
      <c r="D619" s="22"/>
      <c r="H619" s="22"/>
    </row>
    <row r="620">
      <c r="D620" s="22"/>
      <c r="H620" s="22"/>
    </row>
    <row r="621">
      <c r="D621" s="22"/>
      <c r="H621" s="22"/>
    </row>
    <row r="622">
      <c r="D622" s="22"/>
      <c r="H622" s="22"/>
    </row>
    <row r="623">
      <c r="D623" s="22"/>
      <c r="H623" s="22"/>
    </row>
    <row r="624">
      <c r="D624" s="22"/>
      <c r="H624" s="22"/>
    </row>
    <row r="625">
      <c r="D625" s="22"/>
      <c r="H625" s="22"/>
    </row>
    <row r="626">
      <c r="D626" s="22"/>
      <c r="H626" s="22"/>
    </row>
    <row r="627">
      <c r="D627" s="22"/>
      <c r="H627" s="22"/>
    </row>
    <row r="628">
      <c r="D628" s="22"/>
      <c r="H628" s="22"/>
    </row>
    <row r="629">
      <c r="D629" s="22"/>
      <c r="H629" s="22"/>
    </row>
    <row r="630">
      <c r="D630" s="22"/>
      <c r="H630" s="22"/>
    </row>
    <row r="631">
      <c r="D631" s="22"/>
      <c r="H631" s="22"/>
    </row>
    <row r="632">
      <c r="D632" s="22"/>
      <c r="H632" s="22"/>
    </row>
    <row r="633">
      <c r="D633" s="22"/>
      <c r="H633" s="22"/>
    </row>
    <row r="634">
      <c r="D634" s="22"/>
      <c r="H634" s="22"/>
    </row>
    <row r="635">
      <c r="D635" s="22"/>
      <c r="H635" s="22"/>
    </row>
    <row r="636">
      <c r="D636" s="22"/>
      <c r="H636" s="22"/>
    </row>
    <row r="637">
      <c r="D637" s="22"/>
      <c r="H637" s="22"/>
    </row>
    <row r="638">
      <c r="D638" s="22"/>
      <c r="H638" s="22"/>
    </row>
    <row r="639">
      <c r="D639" s="22"/>
      <c r="H639" s="22"/>
    </row>
    <row r="640">
      <c r="D640" s="22"/>
      <c r="H640" s="22"/>
    </row>
    <row r="641">
      <c r="D641" s="22"/>
      <c r="H641" s="22"/>
    </row>
    <row r="642">
      <c r="D642" s="22"/>
      <c r="H642" s="22"/>
    </row>
    <row r="643">
      <c r="D643" s="22"/>
      <c r="H643" s="22"/>
    </row>
    <row r="644">
      <c r="D644" s="22"/>
      <c r="H644" s="22"/>
    </row>
    <row r="645">
      <c r="D645" s="22"/>
      <c r="H645" s="22"/>
    </row>
    <row r="646">
      <c r="D646" s="22"/>
      <c r="H646" s="22"/>
    </row>
    <row r="647">
      <c r="D647" s="22"/>
      <c r="H647" s="22"/>
    </row>
    <row r="648">
      <c r="D648" s="22"/>
      <c r="H648" s="22"/>
    </row>
    <row r="649">
      <c r="D649" s="22"/>
      <c r="H649" s="22"/>
    </row>
    <row r="650">
      <c r="D650" s="22"/>
      <c r="H650" s="22"/>
    </row>
    <row r="651">
      <c r="D651" s="22"/>
      <c r="H651" s="22"/>
    </row>
    <row r="652">
      <c r="D652" s="22"/>
      <c r="H652" s="22"/>
    </row>
    <row r="653">
      <c r="D653" s="22"/>
      <c r="H653" s="22"/>
    </row>
    <row r="654">
      <c r="D654" s="22"/>
      <c r="H654" s="22"/>
    </row>
    <row r="655">
      <c r="D655" s="22"/>
      <c r="H655" s="22"/>
    </row>
    <row r="656">
      <c r="D656" s="22"/>
      <c r="H656" s="22"/>
    </row>
    <row r="657">
      <c r="D657" s="22"/>
      <c r="H657" s="22"/>
    </row>
    <row r="658">
      <c r="D658" s="22"/>
      <c r="H658" s="22"/>
    </row>
    <row r="659">
      <c r="D659" s="22"/>
      <c r="H659" s="22"/>
    </row>
    <row r="660">
      <c r="D660" s="22"/>
      <c r="H660" s="22"/>
    </row>
    <row r="661">
      <c r="D661" s="22"/>
      <c r="H661" s="22"/>
    </row>
    <row r="662">
      <c r="D662" s="22"/>
      <c r="H662" s="22"/>
    </row>
    <row r="663">
      <c r="D663" s="22"/>
      <c r="H663" s="22"/>
    </row>
    <row r="664">
      <c r="D664" s="22"/>
      <c r="H664" s="22"/>
    </row>
    <row r="665">
      <c r="D665" s="22"/>
      <c r="H665" s="22"/>
    </row>
    <row r="666">
      <c r="D666" s="22"/>
      <c r="H666" s="22"/>
    </row>
    <row r="667">
      <c r="D667" s="22"/>
      <c r="H667" s="22"/>
    </row>
    <row r="668">
      <c r="D668" s="22"/>
      <c r="H668" s="22"/>
    </row>
    <row r="669">
      <c r="D669" s="22"/>
      <c r="H669" s="22"/>
    </row>
    <row r="670">
      <c r="D670" s="22"/>
      <c r="H670" s="22"/>
    </row>
    <row r="671">
      <c r="D671" s="22"/>
      <c r="H671" s="22"/>
    </row>
    <row r="672">
      <c r="D672" s="22"/>
      <c r="H672" s="22"/>
    </row>
    <row r="673">
      <c r="D673" s="22"/>
      <c r="H673" s="22"/>
    </row>
    <row r="674">
      <c r="D674" s="22"/>
      <c r="H674" s="22"/>
    </row>
    <row r="675">
      <c r="D675" s="22"/>
      <c r="H675" s="22"/>
    </row>
    <row r="676">
      <c r="D676" s="22"/>
      <c r="H676" s="22"/>
    </row>
    <row r="677">
      <c r="D677" s="22"/>
      <c r="H677" s="22"/>
    </row>
    <row r="678">
      <c r="D678" s="22"/>
      <c r="H678" s="22"/>
    </row>
    <row r="679">
      <c r="D679" s="22"/>
      <c r="H679" s="22"/>
    </row>
    <row r="680">
      <c r="D680" s="22"/>
      <c r="H680" s="22"/>
    </row>
    <row r="681">
      <c r="D681" s="22"/>
      <c r="H681" s="22"/>
    </row>
    <row r="682">
      <c r="D682" s="22"/>
      <c r="H682" s="22"/>
    </row>
    <row r="683">
      <c r="D683" s="22"/>
      <c r="H683" s="22"/>
    </row>
    <row r="684">
      <c r="D684" s="22"/>
      <c r="H684" s="22"/>
    </row>
    <row r="685">
      <c r="D685" s="22"/>
      <c r="H685" s="22"/>
    </row>
    <row r="686">
      <c r="D686" s="22"/>
      <c r="H686" s="22"/>
    </row>
    <row r="687">
      <c r="D687" s="22"/>
      <c r="H687" s="22"/>
    </row>
    <row r="688">
      <c r="D688" s="22"/>
      <c r="H688" s="22"/>
    </row>
    <row r="689">
      <c r="D689" s="22"/>
      <c r="H689" s="22"/>
    </row>
    <row r="690">
      <c r="D690" s="22"/>
      <c r="H690" s="22"/>
    </row>
    <row r="691">
      <c r="D691" s="22"/>
      <c r="H691" s="22"/>
    </row>
    <row r="692">
      <c r="D692" s="22"/>
      <c r="H692" s="22"/>
    </row>
    <row r="693">
      <c r="D693" s="22"/>
      <c r="H693" s="22"/>
    </row>
    <row r="694">
      <c r="D694" s="22"/>
      <c r="H694" s="22"/>
    </row>
    <row r="695">
      <c r="D695" s="22"/>
      <c r="H695" s="22"/>
    </row>
    <row r="696">
      <c r="D696" s="22"/>
      <c r="H696" s="22"/>
    </row>
    <row r="697">
      <c r="D697" s="22"/>
      <c r="H697" s="22"/>
    </row>
    <row r="698">
      <c r="D698" s="22"/>
      <c r="H698" s="22"/>
    </row>
    <row r="699">
      <c r="D699" s="22"/>
      <c r="H699" s="22"/>
    </row>
    <row r="700">
      <c r="D700" s="22"/>
      <c r="H700" s="22"/>
    </row>
    <row r="701">
      <c r="D701" s="22"/>
      <c r="H701" s="22"/>
    </row>
    <row r="702">
      <c r="D702" s="22"/>
      <c r="H702" s="22"/>
    </row>
    <row r="703">
      <c r="D703" s="22"/>
      <c r="H703" s="22"/>
    </row>
    <row r="704">
      <c r="D704" s="22"/>
      <c r="H704" s="22"/>
    </row>
    <row r="705">
      <c r="D705" s="22"/>
      <c r="H705" s="22"/>
    </row>
    <row r="706">
      <c r="D706" s="22"/>
      <c r="H706" s="22"/>
    </row>
    <row r="707">
      <c r="D707" s="22"/>
      <c r="H707" s="22"/>
    </row>
    <row r="708">
      <c r="D708" s="22"/>
      <c r="H708" s="22"/>
    </row>
    <row r="709">
      <c r="D709" s="22"/>
      <c r="H709" s="22"/>
    </row>
    <row r="710">
      <c r="D710" s="22"/>
      <c r="H710" s="22"/>
    </row>
    <row r="711">
      <c r="D711" s="22"/>
      <c r="H711" s="22"/>
    </row>
    <row r="712">
      <c r="D712" s="22"/>
      <c r="H712" s="22"/>
    </row>
    <row r="713">
      <c r="D713" s="22"/>
      <c r="H713" s="22"/>
    </row>
    <row r="714">
      <c r="D714" s="22"/>
      <c r="H714" s="22"/>
    </row>
    <row r="715">
      <c r="D715" s="22"/>
      <c r="H715" s="22"/>
    </row>
    <row r="716">
      <c r="D716" s="22"/>
      <c r="H716" s="22"/>
    </row>
    <row r="717">
      <c r="D717" s="22"/>
      <c r="H717" s="22"/>
    </row>
    <row r="718">
      <c r="D718" s="22"/>
      <c r="H718" s="22"/>
    </row>
    <row r="719">
      <c r="D719" s="22"/>
      <c r="H719" s="22"/>
    </row>
    <row r="720">
      <c r="D720" s="22"/>
      <c r="H720" s="22"/>
    </row>
    <row r="721">
      <c r="D721" s="22"/>
      <c r="H721" s="22"/>
    </row>
    <row r="722">
      <c r="D722" s="22"/>
      <c r="H722" s="22"/>
    </row>
    <row r="723">
      <c r="D723" s="22"/>
      <c r="H723" s="22"/>
    </row>
    <row r="724">
      <c r="D724" s="22"/>
      <c r="H724" s="22"/>
    </row>
    <row r="725">
      <c r="D725" s="22"/>
      <c r="H725" s="22"/>
    </row>
    <row r="726">
      <c r="D726" s="22"/>
      <c r="H726" s="22"/>
    </row>
    <row r="727">
      <c r="D727" s="22"/>
      <c r="H727" s="22"/>
    </row>
    <row r="728">
      <c r="D728" s="22"/>
      <c r="H728" s="22"/>
    </row>
    <row r="729">
      <c r="D729" s="22"/>
      <c r="H729" s="22"/>
    </row>
    <row r="730">
      <c r="D730" s="22"/>
      <c r="H730" s="22"/>
    </row>
    <row r="731">
      <c r="D731" s="22"/>
      <c r="H731" s="22"/>
    </row>
    <row r="732">
      <c r="D732" s="22"/>
      <c r="H732" s="22"/>
    </row>
    <row r="733">
      <c r="D733" s="22"/>
      <c r="H733" s="22"/>
    </row>
    <row r="734">
      <c r="D734" s="22"/>
      <c r="H734" s="22"/>
    </row>
    <row r="735">
      <c r="D735" s="22"/>
      <c r="H735" s="22"/>
    </row>
    <row r="736">
      <c r="D736" s="22"/>
      <c r="H736" s="22"/>
    </row>
    <row r="737">
      <c r="D737" s="22"/>
      <c r="H737" s="22"/>
    </row>
    <row r="738">
      <c r="D738" s="22"/>
      <c r="H738" s="22"/>
    </row>
    <row r="739">
      <c r="D739" s="22"/>
      <c r="H739" s="22"/>
    </row>
    <row r="740">
      <c r="D740" s="22"/>
      <c r="H740" s="22"/>
    </row>
    <row r="741">
      <c r="D741" s="22"/>
      <c r="H741" s="22"/>
    </row>
    <row r="742">
      <c r="D742" s="22"/>
      <c r="H742" s="22"/>
    </row>
    <row r="743">
      <c r="D743" s="22"/>
      <c r="H743" s="22"/>
    </row>
    <row r="744">
      <c r="D744" s="22"/>
      <c r="H744" s="22"/>
    </row>
    <row r="745">
      <c r="D745" s="22"/>
      <c r="H745" s="22"/>
    </row>
    <row r="746">
      <c r="D746" s="22"/>
      <c r="H746" s="22"/>
    </row>
    <row r="747">
      <c r="D747" s="22"/>
      <c r="H747" s="22"/>
    </row>
    <row r="748">
      <c r="D748" s="22"/>
      <c r="H748" s="22"/>
    </row>
    <row r="749">
      <c r="D749" s="22"/>
      <c r="H749" s="22"/>
    </row>
    <row r="750">
      <c r="D750" s="22"/>
      <c r="H750" s="22"/>
    </row>
    <row r="751">
      <c r="D751" s="22"/>
      <c r="H751" s="22"/>
    </row>
    <row r="752">
      <c r="D752" s="22"/>
      <c r="H752" s="22"/>
    </row>
    <row r="753">
      <c r="D753" s="22"/>
      <c r="H753" s="22"/>
    </row>
    <row r="754">
      <c r="D754" s="22"/>
      <c r="H754" s="22"/>
    </row>
    <row r="755">
      <c r="D755" s="22"/>
      <c r="H755" s="22"/>
    </row>
    <row r="756">
      <c r="D756" s="22"/>
      <c r="H756" s="22"/>
    </row>
    <row r="757">
      <c r="D757" s="22"/>
      <c r="H757" s="22"/>
    </row>
    <row r="758">
      <c r="D758" s="22"/>
      <c r="H758" s="22"/>
    </row>
    <row r="759">
      <c r="D759" s="22"/>
      <c r="H759" s="22"/>
    </row>
    <row r="760">
      <c r="D760" s="22"/>
      <c r="H760" s="22"/>
    </row>
    <row r="761">
      <c r="D761" s="22"/>
      <c r="H761" s="22"/>
    </row>
    <row r="762">
      <c r="D762" s="22"/>
      <c r="H762" s="22"/>
    </row>
    <row r="763">
      <c r="D763" s="22"/>
      <c r="H763" s="22"/>
    </row>
    <row r="764">
      <c r="D764" s="22"/>
      <c r="H764" s="22"/>
    </row>
    <row r="765">
      <c r="D765" s="22"/>
      <c r="H765" s="22"/>
    </row>
    <row r="766">
      <c r="D766" s="22"/>
      <c r="H766" s="22"/>
    </row>
    <row r="767">
      <c r="D767" s="22"/>
      <c r="H767" s="22"/>
    </row>
    <row r="768">
      <c r="D768" s="22"/>
      <c r="H768" s="22"/>
    </row>
    <row r="769">
      <c r="D769" s="22"/>
      <c r="H769" s="22"/>
    </row>
    <row r="770">
      <c r="D770" s="22"/>
      <c r="H770" s="22"/>
    </row>
    <row r="771">
      <c r="D771" s="22"/>
      <c r="H771" s="22"/>
    </row>
    <row r="772">
      <c r="D772" s="22"/>
      <c r="H772" s="22"/>
    </row>
    <row r="773">
      <c r="D773" s="22"/>
      <c r="H773" s="22"/>
    </row>
    <row r="774">
      <c r="D774" s="22"/>
      <c r="H774" s="22"/>
    </row>
    <row r="775">
      <c r="D775" s="22"/>
      <c r="H775" s="22"/>
    </row>
    <row r="776">
      <c r="D776" s="22"/>
      <c r="H776" s="22"/>
    </row>
    <row r="777">
      <c r="D777" s="22"/>
      <c r="H777" s="22"/>
    </row>
    <row r="778">
      <c r="D778" s="22"/>
      <c r="H778" s="22"/>
    </row>
    <row r="779">
      <c r="D779" s="22"/>
      <c r="H779" s="22"/>
    </row>
    <row r="780">
      <c r="D780" s="22"/>
      <c r="H780" s="22"/>
    </row>
    <row r="781">
      <c r="D781" s="22"/>
      <c r="H781" s="22"/>
    </row>
    <row r="782">
      <c r="D782" s="22"/>
      <c r="H782" s="22"/>
    </row>
    <row r="783">
      <c r="D783" s="22"/>
      <c r="H783" s="22"/>
    </row>
    <row r="784">
      <c r="D784" s="22"/>
      <c r="H784" s="22"/>
    </row>
    <row r="785">
      <c r="D785" s="22"/>
      <c r="H785" s="22"/>
    </row>
    <row r="786">
      <c r="D786" s="22"/>
      <c r="H786" s="22"/>
    </row>
    <row r="787">
      <c r="D787" s="22"/>
      <c r="H787" s="22"/>
    </row>
    <row r="788">
      <c r="D788" s="22"/>
      <c r="H788" s="22"/>
    </row>
    <row r="789">
      <c r="D789" s="22"/>
      <c r="H789" s="22"/>
    </row>
    <row r="790">
      <c r="D790" s="22"/>
      <c r="H790" s="22"/>
    </row>
    <row r="791">
      <c r="D791" s="22"/>
      <c r="H791" s="22"/>
    </row>
    <row r="792">
      <c r="D792" s="22"/>
      <c r="H792" s="22"/>
    </row>
    <row r="793">
      <c r="D793" s="22"/>
      <c r="H793" s="22"/>
    </row>
    <row r="794">
      <c r="D794" s="22"/>
      <c r="H794" s="22"/>
    </row>
    <row r="795">
      <c r="D795" s="22"/>
      <c r="H795" s="22"/>
    </row>
    <row r="796">
      <c r="D796" s="22"/>
      <c r="H796" s="22"/>
    </row>
    <row r="797">
      <c r="D797" s="22"/>
      <c r="H797" s="22"/>
    </row>
    <row r="798">
      <c r="D798" s="22"/>
      <c r="H798" s="22"/>
    </row>
    <row r="799">
      <c r="D799" s="22"/>
      <c r="H799" s="22"/>
    </row>
    <row r="800">
      <c r="D800" s="22"/>
      <c r="H800" s="22"/>
    </row>
    <row r="801">
      <c r="D801" s="22"/>
      <c r="H801" s="22"/>
    </row>
    <row r="802">
      <c r="D802" s="22"/>
      <c r="H802" s="22"/>
    </row>
    <row r="803">
      <c r="D803" s="22"/>
      <c r="H803" s="22"/>
    </row>
    <row r="804">
      <c r="D804" s="22"/>
      <c r="H804" s="22"/>
    </row>
    <row r="805">
      <c r="D805" s="22"/>
      <c r="H805" s="22"/>
    </row>
    <row r="806">
      <c r="D806" s="22"/>
      <c r="H806" s="22"/>
    </row>
    <row r="807">
      <c r="D807" s="22"/>
      <c r="H807" s="22"/>
    </row>
    <row r="808">
      <c r="D808" s="22"/>
      <c r="H808" s="22"/>
    </row>
    <row r="809">
      <c r="D809" s="22"/>
      <c r="H809" s="22"/>
    </row>
    <row r="810">
      <c r="D810" s="22"/>
      <c r="H810" s="22"/>
    </row>
    <row r="811">
      <c r="D811" s="22"/>
      <c r="H811" s="22"/>
    </row>
    <row r="812">
      <c r="D812" s="22"/>
      <c r="H812" s="22"/>
    </row>
    <row r="813">
      <c r="D813" s="22"/>
      <c r="H813" s="22"/>
    </row>
    <row r="814">
      <c r="D814" s="22"/>
      <c r="H814" s="22"/>
    </row>
    <row r="815">
      <c r="D815" s="22"/>
      <c r="H815" s="22"/>
    </row>
    <row r="816">
      <c r="D816" s="22"/>
      <c r="H816" s="22"/>
    </row>
    <row r="817">
      <c r="D817" s="22"/>
      <c r="H817" s="22"/>
    </row>
    <row r="818">
      <c r="D818" s="22"/>
      <c r="H818" s="22"/>
    </row>
    <row r="819">
      <c r="D819" s="22"/>
      <c r="H819" s="22"/>
    </row>
    <row r="820">
      <c r="D820" s="22"/>
      <c r="H820" s="22"/>
    </row>
    <row r="821">
      <c r="D821" s="22"/>
      <c r="H821" s="22"/>
    </row>
    <row r="822">
      <c r="D822" s="22"/>
      <c r="H822" s="22"/>
    </row>
    <row r="823">
      <c r="D823" s="22"/>
      <c r="H823" s="22"/>
    </row>
    <row r="824">
      <c r="D824" s="22"/>
      <c r="H824" s="22"/>
    </row>
    <row r="825">
      <c r="D825" s="22"/>
      <c r="H825" s="22"/>
    </row>
    <row r="826">
      <c r="D826" s="22"/>
      <c r="H826" s="22"/>
    </row>
    <row r="827">
      <c r="D827" s="22"/>
      <c r="H827" s="22"/>
    </row>
    <row r="828">
      <c r="D828" s="22"/>
      <c r="H828" s="22"/>
    </row>
    <row r="829">
      <c r="D829" s="22"/>
      <c r="H829" s="22"/>
    </row>
    <row r="830">
      <c r="D830" s="22"/>
      <c r="H830" s="22"/>
    </row>
    <row r="831">
      <c r="D831" s="22"/>
      <c r="H831" s="22"/>
    </row>
    <row r="832">
      <c r="D832" s="22"/>
      <c r="H832" s="22"/>
    </row>
    <row r="833">
      <c r="D833" s="22"/>
      <c r="H833" s="22"/>
    </row>
    <row r="834">
      <c r="D834" s="22"/>
      <c r="H834" s="22"/>
    </row>
    <row r="835">
      <c r="D835" s="22"/>
      <c r="H835" s="22"/>
    </row>
    <row r="836">
      <c r="D836" s="22"/>
      <c r="H836" s="22"/>
    </row>
    <row r="837">
      <c r="D837" s="22"/>
      <c r="H837" s="22"/>
    </row>
    <row r="838">
      <c r="D838" s="22"/>
      <c r="H838" s="22"/>
    </row>
    <row r="839">
      <c r="D839" s="22"/>
      <c r="H839" s="22"/>
    </row>
    <row r="840">
      <c r="D840" s="22"/>
      <c r="H840" s="22"/>
    </row>
    <row r="841">
      <c r="D841" s="22"/>
      <c r="H841" s="22"/>
    </row>
    <row r="842">
      <c r="D842" s="22"/>
      <c r="H842" s="22"/>
    </row>
    <row r="843">
      <c r="D843" s="22"/>
      <c r="H843" s="22"/>
    </row>
    <row r="844">
      <c r="D844" s="22"/>
      <c r="H844" s="22"/>
    </row>
    <row r="845">
      <c r="D845" s="22"/>
      <c r="H845" s="22"/>
    </row>
    <row r="846">
      <c r="D846" s="22"/>
      <c r="H846" s="22"/>
    </row>
    <row r="847">
      <c r="D847" s="22"/>
      <c r="H847" s="22"/>
    </row>
    <row r="848">
      <c r="D848" s="22"/>
      <c r="H848" s="22"/>
    </row>
    <row r="849">
      <c r="D849" s="22"/>
      <c r="H849" s="22"/>
    </row>
    <row r="850">
      <c r="D850" s="22"/>
      <c r="H850" s="22"/>
    </row>
    <row r="851">
      <c r="D851" s="22"/>
      <c r="H851" s="22"/>
    </row>
    <row r="852">
      <c r="D852" s="22"/>
      <c r="H852" s="22"/>
    </row>
    <row r="853">
      <c r="D853" s="22"/>
      <c r="H853" s="22"/>
    </row>
    <row r="854">
      <c r="D854" s="22"/>
      <c r="H854" s="22"/>
    </row>
    <row r="855">
      <c r="D855" s="22"/>
      <c r="H855" s="22"/>
    </row>
    <row r="856">
      <c r="D856" s="22"/>
      <c r="H856" s="22"/>
    </row>
    <row r="857">
      <c r="D857" s="22"/>
      <c r="H857" s="22"/>
    </row>
    <row r="858">
      <c r="D858" s="22"/>
      <c r="H858" s="22"/>
    </row>
    <row r="859">
      <c r="D859" s="22"/>
      <c r="H859" s="22"/>
    </row>
    <row r="860">
      <c r="D860" s="22"/>
      <c r="H860" s="22"/>
    </row>
    <row r="861">
      <c r="D861" s="22"/>
      <c r="H861" s="22"/>
    </row>
    <row r="862">
      <c r="D862" s="22"/>
      <c r="H862" s="22"/>
    </row>
    <row r="863">
      <c r="D863" s="22"/>
      <c r="H863" s="22"/>
    </row>
    <row r="864">
      <c r="D864" s="22"/>
      <c r="H864" s="22"/>
    </row>
    <row r="865">
      <c r="D865" s="22"/>
      <c r="H865" s="22"/>
    </row>
    <row r="866">
      <c r="D866" s="22"/>
      <c r="H866" s="22"/>
    </row>
    <row r="867">
      <c r="D867" s="22"/>
      <c r="H867" s="22"/>
    </row>
    <row r="868">
      <c r="D868" s="22"/>
      <c r="H868" s="22"/>
    </row>
    <row r="869">
      <c r="D869" s="22"/>
      <c r="H869" s="22"/>
    </row>
    <row r="870">
      <c r="D870" s="22"/>
      <c r="H870" s="22"/>
    </row>
    <row r="871">
      <c r="D871" s="22"/>
      <c r="H871" s="22"/>
    </row>
    <row r="872">
      <c r="D872" s="22"/>
      <c r="H872" s="22"/>
    </row>
    <row r="873">
      <c r="D873" s="22"/>
      <c r="H873" s="22"/>
    </row>
    <row r="874">
      <c r="D874" s="22"/>
      <c r="H874" s="22"/>
    </row>
    <row r="875">
      <c r="D875" s="22"/>
      <c r="H875" s="22"/>
    </row>
    <row r="876">
      <c r="D876" s="22"/>
      <c r="H876" s="22"/>
    </row>
    <row r="877">
      <c r="D877" s="22"/>
      <c r="H877" s="22"/>
    </row>
    <row r="878">
      <c r="D878" s="22"/>
      <c r="H878" s="22"/>
    </row>
    <row r="879">
      <c r="D879" s="22"/>
      <c r="H879" s="22"/>
    </row>
    <row r="880">
      <c r="D880" s="22"/>
      <c r="H880" s="22"/>
    </row>
    <row r="881">
      <c r="D881" s="22"/>
      <c r="H881" s="22"/>
    </row>
    <row r="882">
      <c r="D882" s="22"/>
      <c r="H882" s="22"/>
    </row>
    <row r="883">
      <c r="D883" s="22"/>
      <c r="H883" s="22"/>
    </row>
    <row r="884">
      <c r="D884" s="22"/>
      <c r="H884" s="22"/>
    </row>
    <row r="885">
      <c r="D885" s="22"/>
      <c r="H885" s="22"/>
    </row>
    <row r="886">
      <c r="D886" s="22"/>
      <c r="H886" s="22"/>
    </row>
    <row r="887">
      <c r="D887" s="22"/>
      <c r="H887" s="22"/>
    </row>
    <row r="888">
      <c r="D888" s="22"/>
      <c r="H888" s="22"/>
    </row>
    <row r="889">
      <c r="D889" s="22"/>
      <c r="H889" s="22"/>
    </row>
    <row r="890">
      <c r="D890" s="22"/>
      <c r="H890" s="22"/>
    </row>
    <row r="891">
      <c r="D891" s="22"/>
      <c r="H891" s="22"/>
    </row>
    <row r="892">
      <c r="D892" s="22"/>
      <c r="H892" s="22"/>
    </row>
    <row r="893">
      <c r="D893" s="22"/>
      <c r="H893" s="22"/>
    </row>
    <row r="894">
      <c r="D894" s="22"/>
      <c r="H894" s="22"/>
    </row>
    <row r="895">
      <c r="D895" s="22"/>
      <c r="H895" s="22"/>
    </row>
    <row r="896">
      <c r="D896" s="22"/>
      <c r="H896" s="22"/>
    </row>
    <row r="897">
      <c r="D897" s="22"/>
      <c r="H897" s="22"/>
    </row>
    <row r="898">
      <c r="D898" s="22"/>
      <c r="H898" s="22"/>
    </row>
    <row r="899">
      <c r="D899" s="22"/>
      <c r="H899" s="22"/>
    </row>
    <row r="900">
      <c r="D900" s="22"/>
      <c r="H900" s="22"/>
    </row>
    <row r="901">
      <c r="D901" s="22"/>
      <c r="H901" s="22"/>
    </row>
    <row r="902">
      <c r="D902" s="22"/>
      <c r="H902" s="22"/>
    </row>
    <row r="903">
      <c r="D903" s="22"/>
      <c r="H903" s="22"/>
    </row>
    <row r="904">
      <c r="D904" s="22"/>
      <c r="H904" s="22"/>
    </row>
    <row r="905">
      <c r="D905" s="22"/>
      <c r="H905" s="22"/>
    </row>
    <row r="906">
      <c r="D906" s="22"/>
      <c r="H906" s="22"/>
    </row>
    <row r="907">
      <c r="D907" s="22"/>
      <c r="H907" s="22"/>
    </row>
    <row r="908">
      <c r="D908" s="22"/>
      <c r="H908" s="22"/>
    </row>
    <row r="909">
      <c r="D909" s="22"/>
      <c r="H909" s="22"/>
    </row>
    <row r="910">
      <c r="D910" s="22"/>
      <c r="H910" s="22"/>
    </row>
    <row r="911">
      <c r="D911" s="22"/>
      <c r="H911" s="22"/>
    </row>
    <row r="912">
      <c r="D912" s="22"/>
      <c r="H912" s="22"/>
    </row>
    <row r="913">
      <c r="D913" s="22"/>
      <c r="H913" s="22"/>
    </row>
    <row r="914">
      <c r="D914" s="22"/>
      <c r="H914" s="22"/>
    </row>
    <row r="915">
      <c r="D915" s="22"/>
      <c r="H915" s="22"/>
    </row>
    <row r="916">
      <c r="D916" s="22"/>
      <c r="H916" s="22"/>
    </row>
    <row r="917">
      <c r="D917" s="22"/>
      <c r="H917" s="22"/>
    </row>
    <row r="918">
      <c r="D918" s="22"/>
      <c r="H918" s="22"/>
    </row>
    <row r="919">
      <c r="D919" s="22"/>
      <c r="H919" s="22"/>
    </row>
    <row r="920">
      <c r="D920" s="22"/>
      <c r="H920" s="22"/>
    </row>
    <row r="921">
      <c r="D921" s="22"/>
      <c r="H921" s="22"/>
    </row>
    <row r="922">
      <c r="D922" s="22"/>
      <c r="H922" s="22"/>
    </row>
    <row r="923">
      <c r="D923" s="22"/>
      <c r="H923" s="22"/>
    </row>
    <row r="924">
      <c r="D924" s="22"/>
      <c r="H924" s="22"/>
    </row>
    <row r="925">
      <c r="D925" s="22"/>
      <c r="H925" s="22"/>
    </row>
    <row r="926">
      <c r="D926" s="22"/>
      <c r="H926" s="22"/>
    </row>
    <row r="927">
      <c r="D927" s="22"/>
      <c r="H927" s="22"/>
    </row>
    <row r="928">
      <c r="D928" s="22"/>
      <c r="H928" s="22"/>
    </row>
    <row r="929">
      <c r="D929" s="22"/>
      <c r="H929" s="22"/>
    </row>
    <row r="930">
      <c r="D930" s="22"/>
      <c r="H930" s="22"/>
    </row>
    <row r="931">
      <c r="D931" s="22"/>
      <c r="H931" s="22"/>
    </row>
    <row r="932">
      <c r="D932" s="22"/>
      <c r="H932" s="22"/>
    </row>
    <row r="933">
      <c r="D933" s="22"/>
      <c r="H933" s="22"/>
    </row>
    <row r="934">
      <c r="D934" s="22"/>
      <c r="H934" s="22"/>
    </row>
    <row r="935">
      <c r="D935" s="22"/>
      <c r="H935" s="22"/>
    </row>
    <row r="936">
      <c r="D936" s="22"/>
      <c r="H936" s="22"/>
    </row>
    <row r="937">
      <c r="D937" s="22"/>
      <c r="H937" s="22"/>
    </row>
    <row r="938">
      <c r="D938" s="22"/>
      <c r="H938" s="22"/>
    </row>
    <row r="939">
      <c r="D939" s="22"/>
      <c r="H939" s="22"/>
    </row>
    <row r="940">
      <c r="D940" s="22"/>
      <c r="H940" s="22"/>
    </row>
    <row r="941">
      <c r="D941" s="22"/>
      <c r="H941" s="22"/>
    </row>
    <row r="942">
      <c r="D942" s="22"/>
      <c r="H942" s="22"/>
    </row>
    <row r="943">
      <c r="D943" s="22"/>
      <c r="H943" s="22"/>
    </row>
    <row r="944">
      <c r="D944" s="22"/>
      <c r="H944" s="22"/>
    </row>
    <row r="945">
      <c r="D945" s="22"/>
      <c r="H945" s="22"/>
    </row>
    <row r="946">
      <c r="D946" s="22"/>
      <c r="H946" s="22"/>
    </row>
    <row r="947">
      <c r="D947" s="22"/>
      <c r="H947" s="22"/>
    </row>
    <row r="948">
      <c r="D948" s="22"/>
      <c r="H948" s="22"/>
    </row>
    <row r="949">
      <c r="D949" s="22"/>
      <c r="H949" s="22"/>
    </row>
    <row r="950">
      <c r="D950" s="22"/>
      <c r="H950" s="22"/>
    </row>
    <row r="951">
      <c r="D951" s="22"/>
      <c r="H951" s="22"/>
    </row>
    <row r="952">
      <c r="D952" s="22"/>
      <c r="H952" s="22"/>
    </row>
    <row r="953">
      <c r="D953" s="22"/>
      <c r="H953" s="22"/>
    </row>
    <row r="954">
      <c r="D954" s="22"/>
      <c r="H954" s="22"/>
    </row>
    <row r="955">
      <c r="D955" s="22"/>
      <c r="H955" s="22"/>
    </row>
    <row r="956">
      <c r="D956" s="22"/>
      <c r="H956" s="22"/>
    </row>
    <row r="957">
      <c r="D957" s="22"/>
      <c r="H957" s="22"/>
    </row>
    <row r="958">
      <c r="D958" s="22"/>
      <c r="H958" s="22"/>
    </row>
    <row r="959">
      <c r="D959" s="22"/>
      <c r="H959" s="22"/>
    </row>
    <row r="960">
      <c r="D960" s="22"/>
      <c r="H960" s="22"/>
    </row>
    <row r="961">
      <c r="D961" s="22"/>
      <c r="H961" s="22"/>
    </row>
    <row r="962">
      <c r="D962" s="22"/>
      <c r="H962" s="22"/>
    </row>
    <row r="963">
      <c r="D963" s="22"/>
      <c r="H963" s="22"/>
    </row>
    <row r="964">
      <c r="D964" s="22"/>
      <c r="H964" s="22"/>
    </row>
    <row r="965">
      <c r="D965" s="22"/>
      <c r="H965" s="22"/>
    </row>
    <row r="966">
      <c r="D966" s="22"/>
      <c r="H966" s="22"/>
    </row>
    <row r="967">
      <c r="D967" s="22"/>
      <c r="H967" s="22"/>
    </row>
    <row r="968">
      <c r="D968" s="22"/>
      <c r="H968" s="22"/>
    </row>
    <row r="969">
      <c r="D969" s="22"/>
      <c r="H969" s="22"/>
    </row>
    <row r="970">
      <c r="D970" s="22"/>
      <c r="H970" s="22"/>
    </row>
    <row r="971">
      <c r="D971" s="22"/>
      <c r="H971" s="22"/>
    </row>
    <row r="972">
      <c r="D972" s="22"/>
      <c r="H972" s="22"/>
    </row>
    <row r="973">
      <c r="D973" s="22"/>
      <c r="H973" s="22"/>
    </row>
    <row r="974">
      <c r="D974" s="22"/>
      <c r="H974" s="22"/>
    </row>
    <row r="975">
      <c r="D975" s="22"/>
      <c r="H975" s="22"/>
    </row>
    <row r="976">
      <c r="D976" s="22"/>
      <c r="H976" s="22"/>
    </row>
    <row r="977">
      <c r="D977" s="22"/>
      <c r="H977" s="22"/>
    </row>
    <row r="978">
      <c r="D978" s="22"/>
      <c r="H978" s="22"/>
    </row>
    <row r="979">
      <c r="D979" s="22"/>
      <c r="H979" s="22"/>
    </row>
    <row r="980">
      <c r="D980" s="22"/>
      <c r="H980" s="22"/>
    </row>
    <row r="981">
      <c r="D981" s="22"/>
      <c r="H981" s="22"/>
    </row>
    <row r="982">
      <c r="D982" s="22"/>
      <c r="H982" s="22"/>
    </row>
    <row r="983">
      <c r="D983" s="22"/>
      <c r="H983" s="22"/>
    </row>
    <row r="984">
      <c r="D984" s="22"/>
      <c r="H984" s="22"/>
    </row>
    <row r="985">
      <c r="D985" s="22"/>
      <c r="H985" s="22"/>
    </row>
    <row r="986">
      <c r="D986" s="22"/>
      <c r="H986" s="22"/>
    </row>
    <row r="987">
      <c r="D987" s="22"/>
      <c r="H987" s="22"/>
    </row>
    <row r="988">
      <c r="D988" s="22"/>
      <c r="H988" s="22"/>
    </row>
    <row r="989">
      <c r="D989" s="22"/>
      <c r="H989" s="22"/>
    </row>
    <row r="990">
      <c r="D990" s="22"/>
      <c r="H990" s="22"/>
    </row>
    <row r="991">
      <c r="D991" s="22"/>
      <c r="H991" s="22"/>
    </row>
    <row r="992">
      <c r="D992" s="22"/>
      <c r="H992" s="22"/>
    </row>
    <row r="993">
      <c r="D993" s="22"/>
      <c r="H993" s="22"/>
    </row>
    <row r="994">
      <c r="D994" s="22"/>
      <c r="H994" s="22"/>
    </row>
    <row r="995">
      <c r="D995" s="22"/>
      <c r="H995" s="22"/>
    </row>
    <row r="996">
      <c r="D996" s="22"/>
      <c r="H996" s="22"/>
    </row>
    <row r="997">
      <c r="D997" s="22"/>
      <c r="H997" s="22"/>
    </row>
    <row r="998">
      <c r="D998" s="22"/>
      <c r="H998" s="22"/>
    </row>
    <row r="999">
      <c r="D999" s="22"/>
      <c r="H999" s="22"/>
    </row>
    <row r="1000">
      <c r="D1000" s="22"/>
      <c r="H1000" s="22"/>
    </row>
  </sheetData>
  <mergeCells count="1">
    <mergeCell ref="J7:K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13"/>
    <col customWidth="1" min="4" max="4" width="24.0"/>
    <col customWidth="1" min="5" max="5" width="37.13"/>
    <col customWidth="1" min="6" max="6" width="59.75"/>
  </cols>
  <sheetData>
    <row r="1">
      <c r="A1" s="2" t="s">
        <v>1</v>
      </c>
      <c r="B1" s="2" t="s">
        <v>5</v>
      </c>
      <c r="C1" s="5" t="s">
        <v>6</v>
      </c>
      <c r="D1" s="5" t="s">
        <v>10</v>
      </c>
      <c r="E1" s="5" t="s">
        <v>13</v>
      </c>
      <c r="F1" s="2" t="s">
        <v>15</v>
      </c>
    </row>
    <row r="2">
      <c r="A2" s="1" t="s">
        <v>18</v>
      </c>
      <c r="B2" s="1" t="s">
        <v>20</v>
      </c>
      <c r="C2" s="4" t="s">
        <v>22</v>
      </c>
      <c r="D2" s="4" t="s">
        <v>24</v>
      </c>
      <c r="E2" s="4" t="s">
        <v>26</v>
      </c>
      <c r="F2" s="4" t="s">
        <v>28</v>
      </c>
    </row>
    <row r="3">
      <c r="A3" s="1" t="s">
        <v>30</v>
      </c>
      <c r="B3" s="1" t="s">
        <v>32</v>
      </c>
      <c r="C3" s="4" t="s">
        <v>35</v>
      </c>
      <c r="D3" s="4" t="s">
        <v>39</v>
      </c>
      <c r="E3" s="4" t="s">
        <v>40</v>
      </c>
      <c r="F3" s="4" t="s">
        <v>42</v>
      </c>
    </row>
    <row r="4">
      <c r="A4" s="1" t="s">
        <v>44</v>
      </c>
      <c r="B4" s="1" t="s">
        <v>45</v>
      </c>
      <c r="C4" s="4" t="s">
        <v>47</v>
      </c>
      <c r="D4" s="4" t="s">
        <v>48</v>
      </c>
      <c r="E4" s="4" t="s">
        <v>51</v>
      </c>
      <c r="F4" s="4" t="s">
        <v>53</v>
      </c>
    </row>
    <row r="5">
      <c r="A5" s="1" t="s">
        <v>55</v>
      </c>
      <c r="B5" s="1" t="s">
        <v>56</v>
      </c>
      <c r="C5" s="4" t="s">
        <v>59</v>
      </c>
      <c r="D5" s="4" t="s">
        <v>60</v>
      </c>
      <c r="E5" s="4" t="s">
        <v>62</v>
      </c>
      <c r="F5" s="4" t="s">
        <v>63</v>
      </c>
    </row>
    <row r="6">
      <c r="A6" s="1" t="s">
        <v>64</v>
      </c>
      <c r="B6" s="1" t="s">
        <v>65</v>
      </c>
      <c r="C6" s="4" t="s">
        <v>67</v>
      </c>
      <c r="D6" s="4" t="s">
        <v>68</v>
      </c>
      <c r="E6" s="4" t="s">
        <v>69</v>
      </c>
      <c r="F6" s="4" t="s">
        <v>71</v>
      </c>
    </row>
    <row r="7">
      <c r="A7" s="1" t="s">
        <v>73</v>
      </c>
      <c r="B7" s="1" t="s">
        <v>74</v>
      </c>
      <c r="C7" s="4" t="s">
        <v>76</v>
      </c>
      <c r="D7" s="4" t="s">
        <v>77</v>
      </c>
      <c r="E7" s="4" t="s">
        <v>79</v>
      </c>
      <c r="F7" s="4" t="s">
        <v>80</v>
      </c>
    </row>
    <row r="8">
      <c r="A8" s="1" t="s">
        <v>82</v>
      </c>
      <c r="B8" s="1" t="s">
        <v>65</v>
      </c>
      <c r="C8" s="4" t="s">
        <v>84</v>
      </c>
      <c r="D8" s="1" t="s">
        <v>68</v>
      </c>
      <c r="E8" s="1" t="s">
        <v>85</v>
      </c>
      <c r="F8" s="4" t="s">
        <v>88</v>
      </c>
    </row>
    <row r="9">
      <c r="A9" s="1" t="s">
        <v>90</v>
      </c>
      <c r="B9" s="4" t="s">
        <v>91</v>
      </c>
      <c r="C9" s="4" t="s">
        <v>92</v>
      </c>
      <c r="D9" s="4" t="s">
        <v>93</v>
      </c>
      <c r="E9" s="4" t="s">
        <v>95</v>
      </c>
      <c r="F9" s="4" t="s">
        <v>96</v>
      </c>
    </row>
    <row r="10">
      <c r="A10" s="1" t="s">
        <v>98</v>
      </c>
      <c r="B10" s="4" t="s">
        <v>91</v>
      </c>
      <c r="C10" s="4" t="s">
        <v>100</v>
      </c>
      <c r="D10" s="4" t="s">
        <v>101</v>
      </c>
      <c r="E10" s="4" t="s">
        <v>103</v>
      </c>
      <c r="F10" s="4" t="s">
        <v>104</v>
      </c>
    </row>
    <row r="11">
      <c r="A11" s="1" t="s">
        <v>106</v>
      </c>
      <c r="B11" s="4" t="s">
        <v>108</v>
      </c>
      <c r="C11" s="4" t="s">
        <v>109</v>
      </c>
      <c r="D11" s="1" t="s">
        <v>110</v>
      </c>
      <c r="E11" s="4" t="s">
        <v>112</v>
      </c>
      <c r="F11" s="4" t="s">
        <v>113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 customWidth="1" min="3" max="3" width="52.75"/>
  </cols>
  <sheetData>
    <row r="1">
      <c r="A1" s="1" t="s">
        <v>2</v>
      </c>
      <c r="B1" s="4" t="s">
        <v>4</v>
      </c>
      <c r="C1" s="4" t="s">
        <v>7</v>
      </c>
      <c r="D1" s="4" t="s">
        <v>9</v>
      </c>
      <c r="E1" s="4" t="s">
        <v>11</v>
      </c>
      <c r="F1" s="4" t="s">
        <v>14</v>
      </c>
    </row>
    <row r="2">
      <c r="A2" s="1" t="s">
        <v>16</v>
      </c>
      <c r="B2" s="4" t="s">
        <v>19</v>
      </c>
      <c r="C2" s="4" t="s">
        <v>34</v>
      </c>
      <c r="D2" s="4">
        <v>4.0</v>
      </c>
      <c r="E2" s="4" t="s">
        <v>36</v>
      </c>
      <c r="F2" s="4" t="s">
        <v>38</v>
      </c>
    </row>
    <row r="3">
      <c r="A3" s="1" t="s">
        <v>41</v>
      </c>
      <c r="B3" s="4" t="s">
        <v>43</v>
      </c>
      <c r="C3" s="4" t="s">
        <v>46</v>
      </c>
      <c r="D3" s="4">
        <v>2.0</v>
      </c>
      <c r="E3" s="4" t="s">
        <v>49</v>
      </c>
      <c r="F3" s="4" t="s">
        <v>50</v>
      </c>
    </row>
    <row r="4">
      <c r="A4" s="1" t="s">
        <v>52</v>
      </c>
      <c r="B4" s="4" t="s">
        <v>43</v>
      </c>
      <c r="C4" s="4" t="s">
        <v>54</v>
      </c>
      <c r="D4" s="4">
        <v>3.0</v>
      </c>
      <c r="E4" s="4" t="s">
        <v>57</v>
      </c>
      <c r="F4" s="4" t="s">
        <v>58</v>
      </c>
    </row>
    <row r="5">
      <c r="A5" s="1" t="s">
        <v>61</v>
      </c>
      <c r="B5" s="4" t="s">
        <v>43</v>
      </c>
      <c r="C5" s="4" t="s">
        <v>66</v>
      </c>
      <c r="D5" s="4">
        <v>2.0</v>
      </c>
      <c r="E5" s="4" t="s">
        <v>49</v>
      </c>
      <c r="F5" s="4" t="s">
        <v>70</v>
      </c>
    </row>
    <row r="6">
      <c r="A6" s="1" t="s">
        <v>72</v>
      </c>
      <c r="B6" s="4" t="s">
        <v>43</v>
      </c>
      <c r="C6" s="4" t="s">
        <v>75</v>
      </c>
      <c r="D6" s="4">
        <v>2.0</v>
      </c>
      <c r="E6" s="4" t="s">
        <v>49</v>
      </c>
      <c r="F6" s="4" t="s">
        <v>78</v>
      </c>
    </row>
    <row r="7">
      <c r="A7" s="1" t="s">
        <v>81</v>
      </c>
      <c r="B7" s="4" t="s">
        <v>43</v>
      </c>
      <c r="C7" s="4" t="s">
        <v>83</v>
      </c>
      <c r="D7" s="4">
        <v>5.0</v>
      </c>
      <c r="E7" s="4" t="s">
        <v>36</v>
      </c>
      <c r="F7" s="4" t="s">
        <v>86</v>
      </c>
    </row>
    <row r="8">
      <c r="A8" s="1" t="s">
        <v>89</v>
      </c>
      <c r="B8" s="4" t="s">
        <v>43</v>
      </c>
      <c r="C8" s="4" t="s">
        <v>94</v>
      </c>
      <c r="D8" s="4">
        <v>2.0</v>
      </c>
      <c r="E8" s="4" t="s">
        <v>49</v>
      </c>
      <c r="F8" s="4" t="s">
        <v>97</v>
      </c>
    </row>
    <row r="9">
      <c r="A9" s="1" t="s">
        <v>99</v>
      </c>
      <c r="B9" s="4" t="s">
        <v>43</v>
      </c>
      <c r="C9" s="4" t="s">
        <v>102</v>
      </c>
      <c r="D9" s="4">
        <v>2.0</v>
      </c>
      <c r="E9" s="4" t="s">
        <v>49</v>
      </c>
      <c r="F9" s="4" t="s">
        <v>105</v>
      </c>
    </row>
    <row r="10">
      <c r="A10" s="1" t="s">
        <v>107</v>
      </c>
      <c r="B10" s="4" t="s">
        <v>19</v>
      </c>
      <c r="C10" s="4" t="s">
        <v>111</v>
      </c>
      <c r="D10" s="4">
        <v>3.0</v>
      </c>
      <c r="E10" s="4" t="s">
        <v>49</v>
      </c>
      <c r="F10" s="4" t="s">
        <v>114</v>
      </c>
    </row>
    <row r="11">
      <c r="A11" s="1" t="s">
        <v>115</v>
      </c>
      <c r="B11" s="4" t="s">
        <v>43</v>
      </c>
      <c r="C11" s="4" t="s">
        <v>116</v>
      </c>
      <c r="D11" s="4">
        <v>5.0</v>
      </c>
      <c r="E11" s="4" t="s">
        <v>36</v>
      </c>
      <c r="F11" s="4" t="s">
        <v>118</v>
      </c>
    </row>
    <row r="12">
      <c r="A12" s="1" t="s">
        <v>119</v>
      </c>
      <c r="B12" s="4" t="s">
        <v>43</v>
      </c>
      <c r="C12" s="4" t="s">
        <v>120</v>
      </c>
      <c r="D12" s="4">
        <v>2.0</v>
      </c>
      <c r="E12" s="4" t="s">
        <v>49</v>
      </c>
      <c r="F12" s="4" t="s">
        <v>121</v>
      </c>
    </row>
    <row r="13">
      <c r="A13" s="1" t="s">
        <v>122</v>
      </c>
      <c r="B13" s="4" t="s">
        <v>43</v>
      </c>
      <c r="C13" s="4" t="s">
        <v>123</v>
      </c>
      <c r="D13" s="4">
        <v>1.0</v>
      </c>
      <c r="E13" s="4" t="s">
        <v>49</v>
      </c>
      <c r="F13" s="4" t="s">
        <v>124</v>
      </c>
    </row>
    <row r="14">
      <c r="A14" s="1" t="s">
        <v>125</v>
      </c>
      <c r="B14" s="4" t="s">
        <v>19</v>
      </c>
      <c r="C14" s="4" t="s">
        <v>127</v>
      </c>
      <c r="D14" s="4">
        <v>4.0</v>
      </c>
      <c r="E14" s="4" t="s">
        <v>36</v>
      </c>
      <c r="F14" s="4" t="s">
        <v>128</v>
      </c>
    </row>
    <row r="15">
      <c r="A15" s="1" t="s">
        <v>130</v>
      </c>
      <c r="B15" s="4" t="s">
        <v>43</v>
      </c>
      <c r="C15" s="4" t="s">
        <v>132</v>
      </c>
      <c r="D15" s="4">
        <v>5.0</v>
      </c>
      <c r="E15" s="4" t="s">
        <v>36</v>
      </c>
      <c r="F15" s="4" t="s">
        <v>134</v>
      </c>
    </row>
    <row r="16">
      <c r="B16" s="10"/>
      <c r="C16" s="10"/>
      <c r="D16" s="10"/>
      <c r="E16" s="10"/>
      <c r="F16" s="10"/>
    </row>
    <row r="17">
      <c r="B17" s="10"/>
      <c r="C17" s="10"/>
      <c r="D17" s="10"/>
      <c r="E17" s="10"/>
      <c r="F17" s="10"/>
    </row>
    <row r="18">
      <c r="B18" s="10"/>
      <c r="C18" s="10"/>
      <c r="D18" s="10"/>
      <c r="E18" s="10"/>
      <c r="F18" s="10"/>
    </row>
    <row r="19">
      <c r="B19" s="10"/>
      <c r="C19" s="10"/>
      <c r="D19" s="10"/>
      <c r="E19" s="10"/>
      <c r="F19" s="10"/>
    </row>
    <row r="20">
      <c r="B20" s="10"/>
      <c r="C20" s="10"/>
      <c r="D20" s="10"/>
      <c r="E20" s="10"/>
      <c r="F20" s="10"/>
    </row>
    <row r="21">
      <c r="B21" s="10"/>
      <c r="C21" s="10"/>
      <c r="D21" s="10"/>
      <c r="E21" s="10"/>
      <c r="F21" s="10"/>
    </row>
    <row r="22">
      <c r="B22" s="10"/>
      <c r="C22" s="10"/>
      <c r="D22" s="10"/>
      <c r="E22" s="10"/>
      <c r="F22" s="10"/>
    </row>
    <row r="23">
      <c r="B23" s="10"/>
      <c r="C23" s="10"/>
      <c r="D23" s="10"/>
      <c r="E23" s="10"/>
      <c r="F23" s="10"/>
    </row>
    <row r="24">
      <c r="B24" s="10"/>
      <c r="C24" s="10"/>
      <c r="D24" s="10"/>
      <c r="E24" s="10"/>
      <c r="F24" s="10"/>
    </row>
    <row r="25">
      <c r="B25" s="10"/>
      <c r="C25" s="10"/>
      <c r="D25" s="10"/>
      <c r="E25" s="10"/>
      <c r="F25" s="10"/>
    </row>
    <row r="26">
      <c r="B26" s="10"/>
      <c r="C26" s="10"/>
      <c r="D26" s="10"/>
      <c r="E26" s="10"/>
      <c r="F26" s="10"/>
    </row>
    <row r="27">
      <c r="B27" s="10"/>
      <c r="C27" s="10"/>
      <c r="D27" s="10"/>
      <c r="E27" s="10"/>
      <c r="F27" s="10"/>
    </row>
    <row r="28">
      <c r="B28" s="10"/>
      <c r="C28" s="10"/>
      <c r="D28" s="10"/>
      <c r="E28" s="10"/>
      <c r="F28" s="10"/>
    </row>
    <row r="29">
      <c r="B29" s="10"/>
      <c r="C29" s="10"/>
      <c r="D29" s="10"/>
      <c r="E29" s="10"/>
      <c r="F29" s="10"/>
    </row>
    <row r="30">
      <c r="B30" s="10"/>
      <c r="C30" s="10"/>
      <c r="D30" s="10"/>
      <c r="E30" s="10"/>
      <c r="F30" s="10"/>
    </row>
    <row r="31">
      <c r="B31" s="10"/>
      <c r="C31" s="10"/>
      <c r="D31" s="10"/>
      <c r="E31" s="10"/>
      <c r="F31" s="10"/>
    </row>
    <row r="32">
      <c r="B32" s="10"/>
      <c r="C32" s="10"/>
      <c r="D32" s="10"/>
      <c r="E32" s="10"/>
      <c r="F32" s="10"/>
    </row>
    <row r="33">
      <c r="B33" s="10"/>
      <c r="C33" s="10"/>
      <c r="D33" s="10"/>
      <c r="E33" s="10"/>
      <c r="F33" s="10"/>
    </row>
    <row r="34">
      <c r="B34" s="10"/>
      <c r="C34" s="10"/>
      <c r="D34" s="10"/>
      <c r="E34" s="10"/>
      <c r="F34" s="10"/>
    </row>
    <row r="35">
      <c r="B35" s="10"/>
      <c r="C35" s="10"/>
      <c r="D35" s="10"/>
      <c r="E35" s="10"/>
      <c r="F35" s="10"/>
    </row>
    <row r="36">
      <c r="B36" s="10"/>
      <c r="C36" s="10"/>
      <c r="D36" s="10"/>
      <c r="E36" s="10"/>
      <c r="F36" s="10"/>
    </row>
    <row r="37">
      <c r="B37" s="10"/>
      <c r="C37" s="10"/>
      <c r="D37" s="10"/>
      <c r="E37" s="10"/>
      <c r="F37" s="10"/>
    </row>
    <row r="38">
      <c r="B38" s="10"/>
      <c r="C38" s="10"/>
      <c r="D38" s="10"/>
      <c r="E38" s="10"/>
      <c r="F38" s="10"/>
    </row>
    <row r="39">
      <c r="B39" s="10"/>
      <c r="C39" s="10"/>
      <c r="D39" s="10"/>
      <c r="E39" s="10"/>
      <c r="F39" s="10"/>
    </row>
    <row r="40">
      <c r="B40" s="10"/>
      <c r="C40" s="10"/>
      <c r="D40" s="10"/>
      <c r="E40" s="10"/>
      <c r="F40" s="10"/>
    </row>
    <row r="41">
      <c r="B41" s="10"/>
      <c r="C41" s="10"/>
      <c r="D41" s="10"/>
      <c r="E41" s="10"/>
      <c r="F41" s="10"/>
    </row>
    <row r="42">
      <c r="B42" s="10"/>
      <c r="C42" s="10"/>
      <c r="D42" s="10"/>
      <c r="E42" s="10"/>
      <c r="F42" s="10"/>
    </row>
    <row r="43">
      <c r="B43" s="10"/>
      <c r="C43" s="10"/>
      <c r="D43" s="10"/>
      <c r="E43" s="10"/>
      <c r="F43" s="10"/>
    </row>
    <row r="44">
      <c r="B44" s="10"/>
      <c r="C44" s="10"/>
      <c r="D44" s="10"/>
      <c r="E44" s="10"/>
      <c r="F44" s="10"/>
    </row>
    <row r="45">
      <c r="B45" s="10"/>
      <c r="C45" s="10"/>
      <c r="D45" s="10"/>
      <c r="E45" s="10"/>
      <c r="F45" s="10"/>
    </row>
    <row r="46">
      <c r="B46" s="10"/>
      <c r="C46" s="10"/>
      <c r="D46" s="10"/>
      <c r="E46" s="10"/>
      <c r="F46" s="10"/>
    </row>
    <row r="47">
      <c r="B47" s="10"/>
      <c r="C47" s="10"/>
      <c r="D47" s="10"/>
      <c r="E47" s="10"/>
      <c r="F47" s="10"/>
    </row>
    <row r="48">
      <c r="B48" s="10"/>
      <c r="C48" s="10"/>
      <c r="D48" s="10"/>
      <c r="E48" s="10"/>
      <c r="F48" s="10"/>
    </row>
    <row r="49">
      <c r="B49" s="10"/>
      <c r="C49" s="10"/>
      <c r="D49" s="10"/>
      <c r="E49" s="10"/>
      <c r="F49" s="10"/>
    </row>
    <row r="50">
      <c r="B50" s="10"/>
      <c r="C50" s="10"/>
      <c r="D50" s="10"/>
      <c r="E50" s="10"/>
      <c r="F50" s="10"/>
    </row>
    <row r="51">
      <c r="B51" s="10"/>
      <c r="C51" s="10"/>
      <c r="D51" s="10"/>
      <c r="E51" s="10"/>
      <c r="F51" s="10"/>
    </row>
    <row r="52">
      <c r="B52" s="10"/>
      <c r="C52" s="10"/>
      <c r="D52" s="10"/>
      <c r="E52" s="10"/>
      <c r="F52" s="10"/>
    </row>
    <row r="53">
      <c r="B53" s="10"/>
      <c r="C53" s="10"/>
      <c r="D53" s="10"/>
      <c r="E53" s="10"/>
      <c r="F53" s="10"/>
    </row>
    <row r="54">
      <c r="B54" s="10"/>
      <c r="C54" s="10"/>
      <c r="D54" s="10"/>
      <c r="E54" s="10"/>
      <c r="F54" s="10"/>
    </row>
    <row r="55">
      <c r="B55" s="10"/>
      <c r="C55" s="10"/>
      <c r="D55" s="10"/>
      <c r="E55" s="10"/>
      <c r="F55" s="10"/>
    </row>
    <row r="56">
      <c r="B56" s="10"/>
      <c r="C56" s="10"/>
      <c r="D56" s="10"/>
      <c r="E56" s="10"/>
      <c r="F56" s="10"/>
    </row>
    <row r="57">
      <c r="B57" s="10"/>
      <c r="C57" s="10"/>
      <c r="D57" s="10"/>
      <c r="E57" s="10"/>
      <c r="F57" s="10"/>
    </row>
    <row r="58">
      <c r="B58" s="10"/>
      <c r="C58" s="10"/>
      <c r="D58" s="10"/>
      <c r="E58" s="10"/>
      <c r="F58" s="10"/>
    </row>
    <row r="59">
      <c r="B59" s="10"/>
      <c r="C59" s="10"/>
      <c r="D59" s="10"/>
      <c r="E59" s="10"/>
      <c r="F59" s="10"/>
    </row>
    <row r="60">
      <c r="B60" s="10"/>
      <c r="C60" s="10"/>
      <c r="D60" s="10"/>
      <c r="E60" s="10"/>
      <c r="F60" s="10"/>
    </row>
    <row r="61">
      <c r="B61" s="10"/>
      <c r="C61" s="10"/>
      <c r="D61" s="10"/>
      <c r="E61" s="10"/>
      <c r="F61" s="10"/>
    </row>
    <row r="62">
      <c r="B62" s="10"/>
      <c r="C62" s="10"/>
      <c r="D62" s="10"/>
      <c r="E62" s="10"/>
      <c r="F62" s="10"/>
    </row>
    <row r="63">
      <c r="B63" s="10"/>
      <c r="C63" s="10"/>
      <c r="D63" s="10"/>
      <c r="E63" s="10"/>
      <c r="F63" s="10"/>
    </row>
    <row r="64">
      <c r="B64" s="10"/>
      <c r="C64" s="10"/>
      <c r="D64" s="10"/>
      <c r="E64" s="10"/>
      <c r="F64" s="10"/>
    </row>
    <row r="65">
      <c r="B65" s="10"/>
      <c r="C65" s="10"/>
      <c r="D65" s="10"/>
      <c r="E65" s="10"/>
      <c r="F65" s="10"/>
    </row>
    <row r="66">
      <c r="B66" s="10"/>
      <c r="C66" s="10"/>
      <c r="D66" s="10"/>
      <c r="E66" s="10"/>
      <c r="F66" s="10"/>
    </row>
    <row r="67">
      <c r="B67" s="10"/>
      <c r="C67" s="10"/>
      <c r="D67" s="10"/>
      <c r="E67" s="10"/>
      <c r="F67" s="10"/>
    </row>
    <row r="68">
      <c r="B68" s="10"/>
      <c r="C68" s="10"/>
      <c r="D68" s="10"/>
      <c r="E68" s="10"/>
      <c r="F68" s="10"/>
    </row>
    <row r="69">
      <c r="B69" s="10"/>
      <c r="C69" s="10"/>
      <c r="D69" s="10"/>
      <c r="E69" s="10"/>
      <c r="F69" s="10"/>
    </row>
    <row r="70">
      <c r="B70" s="10"/>
      <c r="C70" s="10"/>
      <c r="D70" s="10"/>
      <c r="E70" s="10"/>
      <c r="F70" s="10"/>
    </row>
    <row r="71">
      <c r="B71" s="10"/>
      <c r="C71" s="10"/>
      <c r="D71" s="10"/>
      <c r="E71" s="10"/>
      <c r="F71" s="10"/>
    </row>
    <row r="72">
      <c r="B72" s="10"/>
      <c r="C72" s="10"/>
      <c r="D72" s="10"/>
      <c r="E72" s="10"/>
      <c r="F72" s="10"/>
    </row>
    <row r="73">
      <c r="B73" s="10"/>
      <c r="C73" s="10"/>
      <c r="D73" s="10"/>
      <c r="E73" s="10"/>
      <c r="F73" s="10"/>
    </row>
    <row r="74">
      <c r="B74" s="10"/>
      <c r="C74" s="10"/>
      <c r="D74" s="10"/>
      <c r="E74" s="10"/>
      <c r="F74" s="10"/>
    </row>
    <row r="75">
      <c r="B75" s="10"/>
      <c r="C75" s="10"/>
      <c r="D75" s="10"/>
      <c r="E75" s="10"/>
      <c r="F75" s="10"/>
    </row>
    <row r="76">
      <c r="B76" s="10"/>
      <c r="C76" s="10"/>
      <c r="D76" s="10"/>
      <c r="E76" s="10"/>
      <c r="F76" s="10"/>
    </row>
    <row r="77">
      <c r="B77" s="10"/>
      <c r="C77" s="10"/>
      <c r="D77" s="10"/>
      <c r="E77" s="10"/>
      <c r="F77" s="10"/>
    </row>
    <row r="78">
      <c r="B78" s="10"/>
      <c r="C78" s="10"/>
      <c r="D78" s="10"/>
      <c r="E78" s="10"/>
      <c r="F78" s="10"/>
    </row>
    <row r="79">
      <c r="B79" s="10"/>
      <c r="C79" s="10"/>
      <c r="D79" s="10"/>
      <c r="E79" s="10"/>
      <c r="F79" s="10"/>
    </row>
    <row r="80">
      <c r="B80" s="10"/>
      <c r="C80" s="10"/>
      <c r="D80" s="10"/>
      <c r="E80" s="10"/>
      <c r="F80" s="10"/>
    </row>
    <row r="81">
      <c r="B81" s="10"/>
      <c r="C81" s="10"/>
      <c r="D81" s="10"/>
      <c r="E81" s="10"/>
      <c r="F81" s="10"/>
    </row>
    <row r="82">
      <c r="B82" s="10"/>
      <c r="C82" s="10"/>
      <c r="D82" s="10"/>
      <c r="E82" s="10"/>
      <c r="F82" s="10"/>
    </row>
    <row r="83">
      <c r="B83" s="10"/>
      <c r="C83" s="10"/>
      <c r="D83" s="10"/>
      <c r="E83" s="10"/>
      <c r="F83" s="10"/>
    </row>
    <row r="84">
      <c r="B84" s="10"/>
      <c r="C84" s="10"/>
      <c r="D84" s="10"/>
      <c r="E84" s="10"/>
      <c r="F84" s="10"/>
    </row>
    <row r="85">
      <c r="B85" s="10"/>
      <c r="C85" s="10"/>
      <c r="D85" s="10"/>
      <c r="E85" s="10"/>
      <c r="F85" s="10"/>
    </row>
    <row r="86">
      <c r="B86" s="10"/>
      <c r="C86" s="10"/>
      <c r="D86" s="10"/>
      <c r="E86" s="10"/>
      <c r="F86" s="10"/>
    </row>
    <row r="87">
      <c r="B87" s="10"/>
      <c r="C87" s="10"/>
      <c r="D87" s="10"/>
      <c r="E87" s="10"/>
      <c r="F87" s="10"/>
    </row>
    <row r="88">
      <c r="B88" s="10"/>
      <c r="C88" s="10"/>
      <c r="D88" s="10"/>
      <c r="E88" s="10"/>
      <c r="F88" s="10"/>
    </row>
    <row r="89">
      <c r="B89" s="10"/>
      <c r="C89" s="10"/>
      <c r="D89" s="10"/>
      <c r="E89" s="10"/>
      <c r="F89" s="10"/>
    </row>
    <row r="90">
      <c r="B90" s="10"/>
      <c r="C90" s="10"/>
      <c r="D90" s="10"/>
      <c r="E90" s="10"/>
      <c r="F90" s="10"/>
    </row>
    <row r="91">
      <c r="B91" s="10"/>
      <c r="C91" s="10"/>
      <c r="D91" s="10"/>
      <c r="E91" s="10"/>
      <c r="F91" s="10"/>
    </row>
    <row r="92">
      <c r="B92" s="10"/>
      <c r="C92" s="10"/>
      <c r="D92" s="10"/>
      <c r="E92" s="10"/>
      <c r="F92" s="10"/>
    </row>
    <row r="93">
      <c r="B93" s="10"/>
      <c r="C93" s="10"/>
      <c r="D93" s="10"/>
      <c r="E93" s="10"/>
      <c r="F93" s="10"/>
    </row>
    <row r="94">
      <c r="B94" s="10"/>
      <c r="C94" s="10"/>
      <c r="D94" s="10"/>
      <c r="E94" s="10"/>
      <c r="F94" s="10"/>
    </row>
    <row r="95">
      <c r="B95" s="10"/>
      <c r="C95" s="10"/>
      <c r="D95" s="10"/>
      <c r="E95" s="10"/>
      <c r="F95" s="10"/>
    </row>
    <row r="96">
      <c r="B96" s="10"/>
      <c r="C96" s="10"/>
      <c r="D96" s="10"/>
      <c r="E96" s="10"/>
      <c r="F96" s="10"/>
    </row>
    <row r="97">
      <c r="B97" s="10"/>
      <c r="C97" s="10"/>
      <c r="D97" s="10"/>
      <c r="E97" s="10"/>
      <c r="F97" s="10"/>
    </row>
    <row r="98">
      <c r="B98" s="10"/>
      <c r="C98" s="10"/>
      <c r="D98" s="10"/>
      <c r="E98" s="10"/>
      <c r="F98" s="10"/>
    </row>
    <row r="99">
      <c r="B99" s="10"/>
      <c r="C99" s="10"/>
      <c r="D99" s="10"/>
      <c r="E99" s="10"/>
      <c r="F99" s="10"/>
    </row>
    <row r="100">
      <c r="B100" s="10"/>
      <c r="C100" s="10"/>
      <c r="D100" s="10"/>
      <c r="E100" s="10"/>
      <c r="F100" s="10"/>
    </row>
    <row r="101">
      <c r="B101" s="10"/>
      <c r="C101" s="10"/>
      <c r="D101" s="10"/>
      <c r="E101" s="10"/>
      <c r="F101" s="10"/>
    </row>
    <row r="102">
      <c r="B102" s="10"/>
      <c r="C102" s="10"/>
      <c r="D102" s="10"/>
      <c r="E102" s="10"/>
      <c r="F102" s="10"/>
    </row>
    <row r="103">
      <c r="B103" s="10"/>
      <c r="C103" s="10"/>
      <c r="D103" s="10"/>
      <c r="E103" s="10"/>
      <c r="F103" s="10"/>
    </row>
    <row r="104">
      <c r="B104" s="10"/>
      <c r="C104" s="10"/>
      <c r="D104" s="10"/>
      <c r="E104" s="10"/>
      <c r="F104" s="10"/>
    </row>
    <row r="105">
      <c r="B105" s="10"/>
      <c r="C105" s="10"/>
      <c r="D105" s="10"/>
      <c r="E105" s="10"/>
      <c r="F105" s="10"/>
    </row>
    <row r="106">
      <c r="B106" s="10"/>
      <c r="C106" s="10"/>
      <c r="D106" s="10"/>
      <c r="E106" s="10"/>
      <c r="F106" s="10"/>
    </row>
    <row r="107">
      <c r="B107" s="10"/>
      <c r="C107" s="10"/>
      <c r="D107" s="10"/>
      <c r="E107" s="10"/>
      <c r="F107" s="10"/>
    </row>
    <row r="108">
      <c r="B108" s="10"/>
      <c r="C108" s="10"/>
      <c r="D108" s="10"/>
      <c r="E108" s="10"/>
      <c r="F108" s="10"/>
    </row>
    <row r="109">
      <c r="B109" s="10"/>
      <c r="C109" s="10"/>
      <c r="D109" s="10"/>
      <c r="E109" s="10"/>
      <c r="F109" s="10"/>
    </row>
    <row r="110">
      <c r="B110" s="10"/>
      <c r="C110" s="10"/>
      <c r="D110" s="10"/>
      <c r="E110" s="10"/>
      <c r="F110" s="10"/>
    </row>
    <row r="111">
      <c r="B111" s="10"/>
      <c r="C111" s="10"/>
      <c r="D111" s="10"/>
      <c r="E111" s="10"/>
      <c r="F111" s="10"/>
    </row>
    <row r="112">
      <c r="B112" s="10"/>
      <c r="C112" s="10"/>
      <c r="D112" s="10"/>
      <c r="E112" s="10"/>
      <c r="F112" s="10"/>
    </row>
    <row r="113">
      <c r="B113" s="10"/>
      <c r="C113" s="10"/>
      <c r="D113" s="10"/>
      <c r="E113" s="10"/>
      <c r="F113" s="10"/>
    </row>
    <row r="114">
      <c r="B114" s="10"/>
      <c r="C114" s="10"/>
      <c r="D114" s="10"/>
      <c r="E114" s="10"/>
      <c r="F114" s="10"/>
    </row>
    <row r="115">
      <c r="B115" s="10"/>
      <c r="C115" s="10"/>
      <c r="D115" s="10"/>
      <c r="E115" s="10"/>
      <c r="F115" s="10"/>
    </row>
    <row r="116">
      <c r="B116" s="10"/>
      <c r="C116" s="10"/>
      <c r="D116" s="10"/>
      <c r="E116" s="10"/>
      <c r="F116" s="10"/>
    </row>
    <row r="117">
      <c r="B117" s="10"/>
      <c r="C117" s="10"/>
      <c r="D117" s="10"/>
      <c r="E117" s="10"/>
      <c r="F117" s="10"/>
    </row>
    <row r="118">
      <c r="B118" s="10"/>
      <c r="C118" s="10"/>
      <c r="D118" s="10"/>
      <c r="E118" s="10"/>
      <c r="F118" s="10"/>
    </row>
    <row r="119">
      <c r="B119" s="10"/>
      <c r="C119" s="10"/>
      <c r="D119" s="10"/>
      <c r="E119" s="10"/>
      <c r="F119" s="10"/>
    </row>
    <row r="120">
      <c r="B120" s="10"/>
      <c r="C120" s="10"/>
      <c r="D120" s="10"/>
      <c r="E120" s="10"/>
      <c r="F120" s="10"/>
    </row>
    <row r="121">
      <c r="B121" s="10"/>
      <c r="C121" s="10"/>
      <c r="D121" s="10"/>
      <c r="E121" s="10"/>
      <c r="F121" s="10"/>
    </row>
    <row r="122">
      <c r="B122" s="10"/>
      <c r="C122" s="10"/>
      <c r="D122" s="10"/>
      <c r="E122" s="10"/>
      <c r="F122" s="10"/>
    </row>
    <row r="123">
      <c r="B123" s="10"/>
      <c r="C123" s="10"/>
      <c r="D123" s="10"/>
      <c r="E123" s="10"/>
      <c r="F123" s="10"/>
    </row>
    <row r="124">
      <c r="B124" s="10"/>
      <c r="C124" s="10"/>
      <c r="D124" s="10"/>
      <c r="E124" s="10"/>
      <c r="F124" s="10"/>
    </row>
    <row r="125">
      <c r="B125" s="10"/>
      <c r="C125" s="10"/>
      <c r="D125" s="10"/>
      <c r="E125" s="10"/>
      <c r="F125" s="10"/>
    </row>
    <row r="126">
      <c r="B126" s="10"/>
      <c r="C126" s="10"/>
      <c r="D126" s="10"/>
      <c r="E126" s="10"/>
      <c r="F126" s="10"/>
    </row>
    <row r="127">
      <c r="B127" s="10"/>
      <c r="C127" s="10"/>
      <c r="D127" s="10"/>
      <c r="E127" s="10"/>
      <c r="F127" s="10"/>
    </row>
    <row r="128">
      <c r="B128" s="10"/>
      <c r="C128" s="10"/>
      <c r="D128" s="10"/>
      <c r="E128" s="10"/>
      <c r="F128" s="10"/>
    </row>
    <row r="129">
      <c r="B129" s="10"/>
      <c r="C129" s="10"/>
      <c r="D129" s="10"/>
      <c r="E129" s="10"/>
      <c r="F129" s="10"/>
    </row>
    <row r="130">
      <c r="B130" s="10"/>
      <c r="C130" s="10"/>
      <c r="D130" s="10"/>
      <c r="E130" s="10"/>
      <c r="F130" s="10"/>
    </row>
    <row r="131">
      <c r="B131" s="10"/>
      <c r="C131" s="10"/>
      <c r="D131" s="10"/>
      <c r="E131" s="10"/>
      <c r="F131" s="10"/>
    </row>
    <row r="132">
      <c r="B132" s="10"/>
      <c r="C132" s="10"/>
      <c r="D132" s="10"/>
      <c r="E132" s="10"/>
      <c r="F132" s="10"/>
    </row>
    <row r="133">
      <c r="B133" s="10"/>
      <c r="C133" s="10"/>
      <c r="D133" s="10"/>
      <c r="E133" s="10"/>
      <c r="F133" s="10"/>
    </row>
    <row r="134">
      <c r="B134" s="10"/>
      <c r="C134" s="10"/>
      <c r="D134" s="10"/>
      <c r="E134" s="10"/>
      <c r="F134" s="10"/>
    </row>
    <row r="135">
      <c r="B135" s="10"/>
      <c r="C135" s="10"/>
      <c r="D135" s="10"/>
      <c r="E135" s="10"/>
      <c r="F135" s="10"/>
    </row>
    <row r="136">
      <c r="B136" s="10"/>
      <c r="C136" s="10"/>
      <c r="D136" s="10"/>
      <c r="E136" s="10"/>
      <c r="F136" s="10"/>
    </row>
    <row r="137">
      <c r="B137" s="10"/>
      <c r="C137" s="10"/>
      <c r="D137" s="10"/>
      <c r="E137" s="10"/>
      <c r="F137" s="10"/>
    </row>
    <row r="138">
      <c r="B138" s="10"/>
      <c r="C138" s="10"/>
      <c r="D138" s="10"/>
      <c r="E138" s="10"/>
      <c r="F138" s="10"/>
    </row>
    <row r="139">
      <c r="B139" s="10"/>
      <c r="C139" s="10"/>
      <c r="D139" s="10"/>
      <c r="E139" s="10"/>
      <c r="F139" s="10"/>
    </row>
    <row r="140">
      <c r="B140" s="10"/>
      <c r="C140" s="10"/>
      <c r="D140" s="10"/>
      <c r="E140" s="10"/>
      <c r="F140" s="10"/>
    </row>
    <row r="141">
      <c r="B141" s="10"/>
      <c r="C141" s="10"/>
      <c r="D141" s="10"/>
      <c r="E141" s="10"/>
      <c r="F141" s="10"/>
    </row>
    <row r="142">
      <c r="B142" s="10"/>
      <c r="C142" s="10"/>
      <c r="D142" s="10"/>
      <c r="E142" s="10"/>
      <c r="F142" s="10"/>
    </row>
    <row r="143">
      <c r="B143" s="10"/>
      <c r="C143" s="10"/>
      <c r="D143" s="10"/>
      <c r="E143" s="10"/>
      <c r="F143" s="10"/>
    </row>
    <row r="144">
      <c r="B144" s="10"/>
      <c r="C144" s="10"/>
      <c r="D144" s="10"/>
      <c r="E144" s="10"/>
      <c r="F144" s="10"/>
    </row>
    <row r="145">
      <c r="B145" s="10"/>
      <c r="C145" s="10"/>
      <c r="D145" s="10"/>
      <c r="E145" s="10"/>
      <c r="F145" s="10"/>
    </row>
    <row r="146">
      <c r="B146" s="10"/>
      <c r="C146" s="10"/>
      <c r="D146" s="10"/>
      <c r="E146" s="10"/>
      <c r="F146" s="10"/>
    </row>
    <row r="147">
      <c r="B147" s="10"/>
      <c r="C147" s="10"/>
      <c r="D147" s="10"/>
      <c r="E147" s="10"/>
      <c r="F147" s="10"/>
    </row>
    <row r="148">
      <c r="B148" s="10"/>
      <c r="C148" s="10"/>
      <c r="D148" s="10"/>
      <c r="E148" s="10"/>
      <c r="F148" s="10"/>
    </row>
    <row r="149">
      <c r="B149" s="10"/>
      <c r="C149" s="10"/>
      <c r="D149" s="10"/>
      <c r="E149" s="10"/>
      <c r="F149" s="10"/>
    </row>
    <row r="150">
      <c r="B150" s="10"/>
      <c r="C150" s="10"/>
      <c r="D150" s="10"/>
      <c r="E150" s="10"/>
      <c r="F150" s="10"/>
    </row>
    <row r="151">
      <c r="B151" s="10"/>
      <c r="C151" s="10"/>
      <c r="D151" s="10"/>
      <c r="E151" s="10"/>
      <c r="F151" s="10"/>
    </row>
    <row r="152">
      <c r="B152" s="10"/>
      <c r="C152" s="10"/>
      <c r="D152" s="10"/>
      <c r="E152" s="10"/>
      <c r="F152" s="10"/>
    </row>
    <row r="153">
      <c r="B153" s="10"/>
      <c r="C153" s="10"/>
      <c r="D153" s="10"/>
      <c r="E153" s="10"/>
      <c r="F153" s="10"/>
    </row>
    <row r="154">
      <c r="B154" s="10"/>
      <c r="C154" s="10"/>
      <c r="D154" s="10"/>
      <c r="E154" s="10"/>
      <c r="F154" s="10"/>
    </row>
    <row r="155">
      <c r="B155" s="10"/>
      <c r="C155" s="10"/>
      <c r="D155" s="10"/>
      <c r="E155" s="10"/>
      <c r="F155" s="10"/>
    </row>
    <row r="156">
      <c r="B156" s="10"/>
      <c r="C156" s="10"/>
      <c r="D156" s="10"/>
      <c r="E156" s="10"/>
      <c r="F156" s="10"/>
    </row>
    <row r="157">
      <c r="B157" s="10"/>
      <c r="C157" s="10"/>
      <c r="D157" s="10"/>
      <c r="E157" s="10"/>
      <c r="F157" s="10"/>
    </row>
    <row r="158">
      <c r="B158" s="10"/>
      <c r="C158" s="10"/>
      <c r="D158" s="10"/>
      <c r="E158" s="10"/>
      <c r="F158" s="10"/>
    </row>
    <row r="159">
      <c r="B159" s="10"/>
      <c r="C159" s="10"/>
      <c r="D159" s="10"/>
      <c r="E159" s="10"/>
      <c r="F159" s="10"/>
    </row>
    <row r="160">
      <c r="B160" s="10"/>
      <c r="C160" s="10"/>
      <c r="D160" s="10"/>
      <c r="E160" s="10"/>
      <c r="F160" s="10"/>
    </row>
    <row r="161">
      <c r="B161" s="10"/>
      <c r="C161" s="10"/>
      <c r="D161" s="10"/>
      <c r="E161" s="10"/>
      <c r="F161" s="10"/>
    </row>
    <row r="162">
      <c r="B162" s="10"/>
      <c r="C162" s="10"/>
      <c r="D162" s="10"/>
      <c r="E162" s="10"/>
      <c r="F162" s="10"/>
    </row>
    <row r="163">
      <c r="B163" s="10"/>
      <c r="C163" s="10"/>
      <c r="D163" s="10"/>
      <c r="E163" s="10"/>
      <c r="F163" s="10"/>
    </row>
    <row r="164">
      <c r="B164" s="10"/>
      <c r="C164" s="10"/>
      <c r="D164" s="10"/>
      <c r="E164" s="10"/>
      <c r="F164" s="10"/>
    </row>
    <row r="165">
      <c r="B165" s="10"/>
      <c r="C165" s="10"/>
      <c r="D165" s="10"/>
      <c r="E165" s="10"/>
      <c r="F165" s="10"/>
    </row>
    <row r="166">
      <c r="B166" s="10"/>
      <c r="C166" s="10"/>
      <c r="D166" s="10"/>
      <c r="E166" s="10"/>
      <c r="F166" s="10"/>
    </row>
    <row r="167">
      <c r="B167" s="10"/>
      <c r="C167" s="10"/>
      <c r="D167" s="10"/>
      <c r="E167" s="10"/>
      <c r="F167" s="10"/>
    </row>
    <row r="168">
      <c r="B168" s="10"/>
      <c r="C168" s="10"/>
      <c r="D168" s="10"/>
      <c r="E168" s="10"/>
      <c r="F168" s="10"/>
    </row>
    <row r="169">
      <c r="B169" s="10"/>
      <c r="C169" s="10"/>
      <c r="D169" s="10"/>
      <c r="E169" s="10"/>
      <c r="F169" s="10"/>
    </row>
    <row r="170">
      <c r="B170" s="10"/>
      <c r="C170" s="10"/>
      <c r="D170" s="10"/>
      <c r="E170" s="10"/>
      <c r="F170" s="10"/>
    </row>
    <row r="171">
      <c r="B171" s="10"/>
      <c r="C171" s="10"/>
      <c r="D171" s="10"/>
      <c r="E171" s="10"/>
      <c r="F171" s="10"/>
    </row>
    <row r="172">
      <c r="B172" s="10"/>
      <c r="C172" s="10"/>
      <c r="D172" s="10"/>
      <c r="E172" s="10"/>
      <c r="F172" s="10"/>
    </row>
    <row r="173">
      <c r="B173" s="10"/>
      <c r="C173" s="10"/>
      <c r="D173" s="10"/>
      <c r="E173" s="10"/>
      <c r="F173" s="10"/>
    </row>
    <row r="174">
      <c r="B174" s="10"/>
      <c r="C174" s="10"/>
      <c r="D174" s="10"/>
      <c r="E174" s="10"/>
      <c r="F174" s="10"/>
    </row>
    <row r="175">
      <c r="B175" s="10"/>
      <c r="C175" s="10"/>
      <c r="D175" s="10"/>
      <c r="E175" s="10"/>
      <c r="F175" s="10"/>
    </row>
    <row r="176">
      <c r="B176" s="10"/>
      <c r="C176" s="10"/>
      <c r="D176" s="10"/>
      <c r="E176" s="10"/>
      <c r="F176" s="10"/>
    </row>
    <row r="177">
      <c r="B177" s="10"/>
      <c r="C177" s="10"/>
      <c r="D177" s="10"/>
      <c r="E177" s="10"/>
      <c r="F177" s="10"/>
    </row>
    <row r="178">
      <c r="B178" s="10"/>
      <c r="C178" s="10"/>
      <c r="D178" s="10"/>
      <c r="E178" s="10"/>
      <c r="F178" s="10"/>
    </row>
    <row r="179">
      <c r="B179" s="10"/>
      <c r="C179" s="10"/>
      <c r="D179" s="10"/>
      <c r="E179" s="10"/>
      <c r="F179" s="10"/>
    </row>
    <row r="180">
      <c r="B180" s="10"/>
      <c r="C180" s="10"/>
      <c r="D180" s="10"/>
      <c r="E180" s="10"/>
      <c r="F180" s="10"/>
    </row>
    <row r="181">
      <c r="B181" s="10"/>
      <c r="C181" s="10"/>
      <c r="D181" s="10"/>
      <c r="E181" s="10"/>
      <c r="F181" s="10"/>
    </row>
    <row r="182">
      <c r="B182" s="10"/>
      <c r="C182" s="10"/>
      <c r="D182" s="10"/>
      <c r="E182" s="10"/>
      <c r="F182" s="10"/>
    </row>
    <row r="183">
      <c r="B183" s="10"/>
      <c r="C183" s="10"/>
      <c r="D183" s="10"/>
      <c r="E183" s="10"/>
      <c r="F183" s="10"/>
    </row>
    <row r="184">
      <c r="B184" s="10"/>
      <c r="C184" s="10"/>
      <c r="D184" s="10"/>
      <c r="E184" s="10"/>
      <c r="F184" s="10"/>
    </row>
    <row r="185">
      <c r="B185" s="10"/>
      <c r="C185" s="10"/>
      <c r="D185" s="10"/>
      <c r="E185" s="10"/>
      <c r="F185" s="10"/>
    </row>
    <row r="186">
      <c r="B186" s="10"/>
      <c r="C186" s="10"/>
      <c r="D186" s="10"/>
      <c r="E186" s="10"/>
      <c r="F186" s="10"/>
    </row>
    <row r="187">
      <c r="B187" s="10"/>
      <c r="C187" s="10"/>
      <c r="D187" s="10"/>
      <c r="E187" s="10"/>
      <c r="F187" s="10"/>
    </row>
    <row r="188">
      <c r="B188" s="10"/>
      <c r="C188" s="10"/>
      <c r="D188" s="10"/>
      <c r="E188" s="10"/>
      <c r="F188" s="10"/>
    </row>
    <row r="189">
      <c r="B189" s="10"/>
      <c r="C189" s="10"/>
      <c r="D189" s="10"/>
      <c r="E189" s="10"/>
      <c r="F189" s="10"/>
    </row>
    <row r="190">
      <c r="B190" s="10"/>
      <c r="C190" s="10"/>
      <c r="D190" s="10"/>
      <c r="E190" s="10"/>
      <c r="F190" s="10"/>
    </row>
    <row r="191">
      <c r="B191" s="10"/>
      <c r="C191" s="10"/>
      <c r="D191" s="10"/>
      <c r="E191" s="10"/>
      <c r="F191" s="10"/>
    </row>
    <row r="192">
      <c r="B192" s="10"/>
      <c r="C192" s="10"/>
      <c r="D192" s="10"/>
      <c r="E192" s="10"/>
      <c r="F192" s="10"/>
    </row>
    <row r="193">
      <c r="B193" s="10"/>
      <c r="C193" s="10"/>
      <c r="D193" s="10"/>
      <c r="E193" s="10"/>
      <c r="F193" s="10"/>
    </row>
    <row r="194">
      <c r="B194" s="10"/>
      <c r="C194" s="10"/>
      <c r="D194" s="10"/>
      <c r="E194" s="10"/>
      <c r="F194" s="10"/>
    </row>
    <row r="195">
      <c r="B195" s="10"/>
      <c r="C195" s="10"/>
      <c r="D195" s="10"/>
      <c r="E195" s="10"/>
      <c r="F195" s="10"/>
    </row>
    <row r="196">
      <c r="B196" s="10"/>
      <c r="C196" s="10"/>
      <c r="D196" s="10"/>
      <c r="E196" s="10"/>
      <c r="F196" s="10"/>
    </row>
    <row r="197">
      <c r="B197" s="10"/>
      <c r="C197" s="10"/>
      <c r="D197" s="10"/>
      <c r="E197" s="10"/>
      <c r="F197" s="10"/>
    </row>
    <row r="198">
      <c r="B198" s="10"/>
      <c r="C198" s="10"/>
      <c r="D198" s="10"/>
      <c r="E198" s="10"/>
      <c r="F198" s="10"/>
    </row>
    <row r="199">
      <c r="B199" s="10"/>
      <c r="C199" s="10"/>
      <c r="D199" s="10"/>
      <c r="E199" s="10"/>
      <c r="F199" s="10"/>
    </row>
    <row r="200">
      <c r="B200" s="10"/>
      <c r="C200" s="10"/>
      <c r="D200" s="10"/>
      <c r="E200" s="10"/>
      <c r="F200" s="10"/>
    </row>
    <row r="201">
      <c r="B201" s="10"/>
      <c r="C201" s="10"/>
      <c r="D201" s="10"/>
      <c r="E201" s="10"/>
      <c r="F201" s="10"/>
    </row>
    <row r="202">
      <c r="B202" s="10"/>
      <c r="C202" s="10"/>
      <c r="D202" s="10"/>
      <c r="E202" s="10"/>
      <c r="F202" s="10"/>
    </row>
    <row r="203">
      <c r="B203" s="10"/>
      <c r="C203" s="10"/>
      <c r="D203" s="10"/>
      <c r="E203" s="10"/>
      <c r="F203" s="10"/>
    </row>
    <row r="204">
      <c r="B204" s="10"/>
      <c r="C204" s="10"/>
      <c r="D204" s="10"/>
      <c r="E204" s="10"/>
      <c r="F204" s="10"/>
    </row>
    <row r="205">
      <c r="B205" s="10"/>
      <c r="C205" s="10"/>
      <c r="D205" s="10"/>
      <c r="E205" s="10"/>
      <c r="F205" s="10"/>
    </row>
    <row r="206">
      <c r="B206" s="10"/>
      <c r="C206" s="10"/>
      <c r="D206" s="10"/>
      <c r="E206" s="10"/>
      <c r="F206" s="10"/>
    </row>
    <row r="207">
      <c r="B207" s="10"/>
      <c r="C207" s="10"/>
      <c r="D207" s="10"/>
      <c r="E207" s="10"/>
      <c r="F207" s="10"/>
    </row>
    <row r="208">
      <c r="B208" s="10"/>
      <c r="C208" s="10"/>
      <c r="D208" s="10"/>
      <c r="E208" s="10"/>
      <c r="F208" s="10"/>
    </row>
    <row r="209">
      <c r="B209" s="10"/>
      <c r="C209" s="10"/>
      <c r="D209" s="10"/>
      <c r="E209" s="10"/>
      <c r="F209" s="10"/>
    </row>
    <row r="210">
      <c r="B210" s="10"/>
      <c r="C210" s="10"/>
      <c r="D210" s="10"/>
      <c r="E210" s="10"/>
      <c r="F210" s="10"/>
    </row>
    <row r="211">
      <c r="B211" s="10"/>
      <c r="C211" s="10"/>
      <c r="D211" s="10"/>
      <c r="E211" s="10"/>
      <c r="F211" s="10"/>
    </row>
    <row r="212">
      <c r="B212" s="10"/>
      <c r="C212" s="10"/>
      <c r="D212" s="10"/>
      <c r="E212" s="10"/>
      <c r="F212" s="10"/>
    </row>
    <row r="213">
      <c r="B213" s="10"/>
      <c r="C213" s="10"/>
      <c r="D213" s="10"/>
      <c r="E213" s="10"/>
      <c r="F213" s="10"/>
    </row>
    <row r="214">
      <c r="B214" s="10"/>
      <c r="C214" s="10"/>
      <c r="D214" s="10"/>
      <c r="E214" s="10"/>
      <c r="F214" s="10"/>
    </row>
    <row r="215">
      <c r="B215" s="10"/>
      <c r="C215" s="10"/>
      <c r="D215" s="10"/>
      <c r="E215" s="10"/>
      <c r="F215" s="10"/>
    </row>
    <row r="216">
      <c r="B216" s="10"/>
      <c r="C216" s="10"/>
      <c r="D216" s="10"/>
      <c r="E216" s="10"/>
      <c r="F216" s="10"/>
    </row>
    <row r="217">
      <c r="B217" s="10"/>
      <c r="C217" s="10"/>
      <c r="D217" s="10"/>
      <c r="E217" s="10"/>
      <c r="F217" s="10"/>
    </row>
    <row r="218">
      <c r="B218" s="10"/>
      <c r="C218" s="10"/>
      <c r="D218" s="10"/>
      <c r="E218" s="10"/>
      <c r="F218" s="10"/>
    </row>
    <row r="219">
      <c r="B219" s="10"/>
      <c r="C219" s="10"/>
      <c r="D219" s="10"/>
      <c r="E219" s="10"/>
      <c r="F219" s="10"/>
    </row>
    <row r="220">
      <c r="B220" s="10"/>
      <c r="C220" s="10"/>
      <c r="D220" s="10"/>
      <c r="E220" s="10"/>
      <c r="F220" s="10"/>
    </row>
    <row r="221">
      <c r="B221" s="10"/>
      <c r="C221" s="10"/>
      <c r="D221" s="10"/>
      <c r="E221" s="10"/>
      <c r="F221" s="10"/>
    </row>
    <row r="222">
      <c r="B222" s="10"/>
      <c r="C222" s="10"/>
      <c r="D222" s="10"/>
      <c r="E222" s="10"/>
      <c r="F222" s="10"/>
    </row>
    <row r="223">
      <c r="B223" s="10"/>
      <c r="C223" s="10"/>
      <c r="D223" s="10"/>
      <c r="E223" s="10"/>
      <c r="F223" s="10"/>
    </row>
    <row r="224">
      <c r="B224" s="10"/>
      <c r="C224" s="10"/>
      <c r="D224" s="10"/>
      <c r="E224" s="10"/>
      <c r="F224" s="10"/>
    </row>
    <row r="225">
      <c r="B225" s="10"/>
      <c r="C225" s="10"/>
      <c r="D225" s="10"/>
      <c r="E225" s="10"/>
      <c r="F225" s="10"/>
    </row>
    <row r="226">
      <c r="B226" s="10"/>
      <c r="C226" s="10"/>
      <c r="D226" s="10"/>
      <c r="E226" s="10"/>
      <c r="F226" s="10"/>
    </row>
    <row r="227">
      <c r="B227" s="10"/>
      <c r="C227" s="10"/>
      <c r="D227" s="10"/>
      <c r="E227" s="10"/>
      <c r="F227" s="10"/>
    </row>
    <row r="228">
      <c r="B228" s="10"/>
      <c r="C228" s="10"/>
      <c r="D228" s="10"/>
      <c r="E228" s="10"/>
      <c r="F228" s="10"/>
    </row>
    <row r="229">
      <c r="B229" s="10"/>
      <c r="C229" s="10"/>
      <c r="D229" s="10"/>
      <c r="E229" s="10"/>
      <c r="F229" s="10"/>
    </row>
    <row r="230">
      <c r="B230" s="10"/>
      <c r="C230" s="10"/>
      <c r="D230" s="10"/>
      <c r="E230" s="10"/>
      <c r="F230" s="10"/>
    </row>
    <row r="231">
      <c r="B231" s="10"/>
      <c r="C231" s="10"/>
      <c r="D231" s="10"/>
      <c r="E231" s="10"/>
      <c r="F231" s="10"/>
    </row>
    <row r="232">
      <c r="B232" s="10"/>
      <c r="C232" s="10"/>
      <c r="D232" s="10"/>
      <c r="E232" s="10"/>
      <c r="F232" s="10"/>
    </row>
    <row r="233">
      <c r="B233" s="10"/>
      <c r="C233" s="10"/>
      <c r="D233" s="10"/>
      <c r="E233" s="10"/>
      <c r="F233" s="10"/>
    </row>
    <row r="234">
      <c r="B234" s="10"/>
      <c r="C234" s="10"/>
      <c r="D234" s="10"/>
      <c r="E234" s="10"/>
      <c r="F234" s="10"/>
    </row>
    <row r="235">
      <c r="B235" s="10"/>
      <c r="C235" s="10"/>
      <c r="D235" s="10"/>
      <c r="E235" s="10"/>
      <c r="F235" s="10"/>
    </row>
    <row r="236">
      <c r="B236" s="10"/>
      <c r="C236" s="10"/>
      <c r="D236" s="10"/>
      <c r="E236" s="10"/>
      <c r="F236" s="10"/>
    </row>
    <row r="237">
      <c r="B237" s="10"/>
      <c r="C237" s="10"/>
      <c r="D237" s="10"/>
      <c r="E237" s="10"/>
      <c r="F237" s="10"/>
    </row>
    <row r="238">
      <c r="B238" s="10"/>
      <c r="C238" s="10"/>
      <c r="D238" s="10"/>
      <c r="E238" s="10"/>
      <c r="F238" s="10"/>
    </row>
    <row r="239">
      <c r="B239" s="10"/>
      <c r="C239" s="10"/>
      <c r="D239" s="10"/>
      <c r="E239" s="10"/>
      <c r="F239" s="10"/>
    </row>
    <row r="240">
      <c r="B240" s="10"/>
      <c r="C240" s="10"/>
      <c r="D240" s="10"/>
      <c r="E240" s="10"/>
      <c r="F240" s="10"/>
    </row>
    <row r="241">
      <c r="B241" s="10"/>
      <c r="C241" s="10"/>
      <c r="D241" s="10"/>
      <c r="E241" s="10"/>
      <c r="F241" s="10"/>
    </row>
    <row r="242">
      <c r="B242" s="10"/>
      <c r="C242" s="10"/>
      <c r="D242" s="10"/>
      <c r="E242" s="10"/>
      <c r="F242" s="10"/>
    </row>
    <row r="243">
      <c r="B243" s="10"/>
      <c r="C243" s="10"/>
      <c r="D243" s="10"/>
      <c r="E243" s="10"/>
      <c r="F243" s="10"/>
    </row>
    <row r="244">
      <c r="B244" s="10"/>
      <c r="C244" s="10"/>
      <c r="D244" s="10"/>
      <c r="E244" s="10"/>
      <c r="F244" s="10"/>
    </row>
    <row r="245">
      <c r="B245" s="10"/>
      <c r="C245" s="10"/>
      <c r="D245" s="10"/>
      <c r="E245" s="10"/>
      <c r="F245" s="10"/>
    </row>
    <row r="246">
      <c r="B246" s="10"/>
      <c r="C246" s="10"/>
      <c r="D246" s="10"/>
      <c r="E246" s="10"/>
      <c r="F246" s="10"/>
    </row>
    <row r="247">
      <c r="B247" s="10"/>
      <c r="C247" s="10"/>
      <c r="D247" s="10"/>
      <c r="E247" s="10"/>
      <c r="F247" s="10"/>
    </row>
    <row r="248">
      <c r="B248" s="10"/>
      <c r="C248" s="10"/>
      <c r="D248" s="10"/>
      <c r="E248" s="10"/>
      <c r="F248" s="10"/>
    </row>
    <row r="249">
      <c r="B249" s="10"/>
      <c r="C249" s="10"/>
      <c r="D249" s="10"/>
      <c r="E249" s="10"/>
      <c r="F249" s="10"/>
    </row>
    <row r="250">
      <c r="B250" s="10"/>
      <c r="C250" s="10"/>
      <c r="D250" s="10"/>
      <c r="E250" s="10"/>
      <c r="F250" s="10"/>
    </row>
    <row r="251">
      <c r="B251" s="10"/>
      <c r="C251" s="10"/>
      <c r="D251" s="10"/>
      <c r="E251" s="10"/>
      <c r="F251" s="10"/>
    </row>
    <row r="252">
      <c r="B252" s="10"/>
      <c r="C252" s="10"/>
      <c r="D252" s="10"/>
      <c r="E252" s="10"/>
      <c r="F252" s="10"/>
    </row>
    <row r="253">
      <c r="B253" s="10"/>
      <c r="C253" s="10"/>
      <c r="D253" s="10"/>
      <c r="E253" s="10"/>
      <c r="F253" s="10"/>
    </row>
    <row r="254">
      <c r="B254" s="10"/>
      <c r="C254" s="10"/>
      <c r="D254" s="10"/>
      <c r="E254" s="10"/>
      <c r="F254" s="10"/>
    </row>
    <row r="255">
      <c r="B255" s="10"/>
      <c r="C255" s="10"/>
      <c r="D255" s="10"/>
      <c r="E255" s="10"/>
      <c r="F255" s="10"/>
    </row>
    <row r="256">
      <c r="B256" s="10"/>
      <c r="C256" s="10"/>
      <c r="D256" s="10"/>
      <c r="E256" s="10"/>
      <c r="F256" s="10"/>
    </row>
    <row r="257">
      <c r="B257" s="10"/>
      <c r="C257" s="10"/>
      <c r="D257" s="10"/>
      <c r="E257" s="10"/>
      <c r="F257" s="10"/>
    </row>
    <row r="258">
      <c r="B258" s="10"/>
      <c r="C258" s="10"/>
      <c r="D258" s="10"/>
      <c r="E258" s="10"/>
      <c r="F258" s="10"/>
    </row>
    <row r="259">
      <c r="B259" s="10"/>
      <c r="C259" s="10"/>
      <c r="D259" s="10"/>
      <c r="E259" s="10"/>
      <c r="F259" s="10"/>
    </row>
    <row r="260">
      <c r="B260" s="10"/>
      <c r="C260" s="10"/>
      <c r="D260" s="10"/>
      <c r="E260" s="10"/>
      <c r="F260" s="10"/>
    </row>
    <row r="261">
      <c r="B261" s="10"/>
      <c r="C261" s="10"/>
      <c r="D261" s="10"/>
      <c r="E261" s="10"/>
      <c r="F261" s="10"/>
    </row>
    <row r="262">
      <c r="B262" s="10"/>
      <c r="C262" s="10"/>
      <c r="D262" s="10"/>
      <c r="E262" s="10"/>
      <c r="F262" s="10"/>
    </row>
    <row r="263">
      <c r="B263" s="10"/>
      <c r="C263" s="10"/>
      <c r="D263" s="10"/>
      <c r="E263" s="10"/>
      <c r="F263" s="10"/>
    </row>
    <row r="264">
      <c r="B264" s="10"/>
      <c r="C264" s="10"/>
      <c r="D264" s="10"/>
      <c r="E264" s="10"/>
      <c r="F264" s="10"/>
    </row>
    <row r="265">
      <c r="B265" s="10"/>
      <c r="C265" s="10"/>
      <c r="D265" s="10"/>
      <c r="E265" s="10"/>
      <c r="F265" s="10"/>
    </row>
    <row r="266">
      <c r="B266" s="10"/>
      <c r="C266" s="10"/>
      <c r="D266" s="10"/>
      <c r="E266" s="10"/>
      <c r="F266" s="10"/>
    </row>
    <row r="267">
      <c r="B267" s="10"/>
      <c r="C267" s="10"/>
      <c r="D267" s="10"/>
      <c r="E267" s="10"/>
      <c r="F267" s="10"/>
    </row>
    <row r="268">
      <c r="B268" s="10"/>
      <c r="C268" s="10"/>
      <c r="D268" s="10"/>
      <c r="E268" s="10"/>
      <c r="F268" s="10"/>
    </row>
    <row r="269">
      <c r="B269" s="10"/>
      <c r="C269" s="10"/>
      <c r="D269" s="10"/>
      <c r="E269" s="10"/>
      <c r="F269" s="10"/>
    </row>
    <row r="270">
      <c r="B270" s="10"/>
      <c r="C270" s="10"/>
      <c r="D270" s="10"/>
      <c r="E270" s="10"/>
      <c r="F270" s="10"/>
    </row>
    <row r="271">
      <c r="B271" s="10"/>
      <c r="C271" s="10"/>
      <c r="D271" s="10"/>
      <c r="E271" s="10"/>
      <c r="F271" s="10"/>
    </row>
    <row r="272">
      <c r="B272" s="10"/>
      <c r="C272" s="10"/>
      <c r="D272" s="10"/>
      <c r="E272" s="10"/>
      <c r="F272" s="10"/>
    </row>
    <row r="273">
      <c r="B273" s="10"/>
      <c r="C273" s="10"/>
      <c r="D273" s="10"/>
      <c r="E273" s="10"/>
      <c r="F273" s="10"/>
    </row>
    <row r="274">
      <c r="B274" s="10"/>
      <c r="C274" s="10"/>
      <c r="D274" s="10"/>
      <c r="E274" s="10"/>
      <c r="F274" s="10"/>
    </row>
    <row r="275">
      <c r="B275" s="10"/>
      <c r="C275" s="10"/>
      <c r="D275" s="10"/>
      <c r="E275" s="10"/>
      <c r="F275" s="10"/>
    </row>
    <row r="276">
      <c r="B276" s="10"/>
      <c r="C276" s="10"/>
      <c r="D276" s="10"/>
      <c r="E276" s="10"/>
      <c r="F276" s="10"/>
    </row>
    <row r="277">
      <c r="B277" s="10"/>
      <c r="C277" s="10"/>
      <c r="D277" s="10"/>
      <c r="E277" s="10"/>
      <c r="F277" s="10"/>
    </row>
    <row r="278">
      <c r="B278" s="10"/>
      <c r="C278" s="10"/>
      <c r="D278" s="10"/>
      <c r="E278" s="10"/>
      <c r="F278" s="10"/>
    </row>
    <row r="279">
      <c r="B279" s="10"/>
      <c r="C279" s="10"/>
      <c r="D279" s="10"/>
      <c r="E279" s="10"/>
      <c r="F279" s="10"/>
    </row>
    <row r="280">
      <c r="B280" s="10"/>
      <c r="C280" s="10"/>
      <c r="D280" s="10"/>
      <c r="E280" s="10"/>
      <c r="F280" s="10"/>
    </row>
    <row r="281">
      <c r="B281" s="10"/>
      <c r="C281" s="10"/>
      <c r="D281" s="10"/>
      <c r="E281" s="10"/>
      <c r="F281" s="10"/>
    </row>
    <row r="282">
      <c r="B282" s="10"/>
      <c r="C282" s="10"/>
      <c r="D282" s="10"/>
      <c r="E282" s="10"/>
      <c r="F282" s="10"/>
    </row>
    <row r="283">
      <c r="B283" s="10"/>
      <c r="C283" s="10"/>
      <c r="D283" s="10"/>
      <c r="E283" s="10"/>
      <c r="F283" s="10"/>
    </row>
    <row r="284">
      <c r="B284" s="10"/>
      <c r="C284" s="10"/>
      <c r="D284" s="10"/>
      <c r="E284" s="10"/>
      <c r="F284" s="10"/>
    </row>
    <row r="285">
      <c r="B285" s="10"/>
      <c r="C285" s="10"/>
      <c r="D285" s="10"/>
      <c r="E285" s="10"/>
      <c r="F285" s="10"/>
    </row>
    <row r="286">
      <c r="B286" s="10"/>
      <c r="C286" s="10"/>
      <c r="D286" s="10"/>
      <c r="E286" s="10"/>
      <c r="F286" s="10"/>
    </row>
    <row r="287">
      <c r="B287" s="10"/>
      <c r="C287" s="10"/>
      <c r="D287" s="10"/>
      <c r="E287" s="10"/>
      <c r="F287" s="10"/>
    </row>
    <row r="288">
      <c r="B288" s="10"/>
      <c r="C288" s="10"/>
      <c r="D288" s="10"/>
      <c r="E288" s="10"/>
      <c r="F288" s="10"/>
    </row>
    <row r="289">
      <c r="B289" s="10"/>
      <c r="C289" s="10"/>
      <c r="D289" s="10"/>
      <c r="E289" s="10"/>
      <c r="F289" s="10"/>
    </row>
    <row r="290">
      <c r="B290" s="10"/>
      <c r="C290" s="10"/>
      <c r="D290" s="10"/>
      <c r="E290" s="10"/>
      <c r="F290" s="10"/>
    </row>
    <row r="291">
      <c r="B291" s="10"/>
      <c r="C291" s="10"/>
      <c r="D291" s="10"/>
      <c r="E291" s="10"/>
      <c r="F291" s="10"/>
    </row>
    <row r="292">
      <c r="B292" s="10"/>
      <c r="C292" s="10"/>
      <c r="D292" s="10"/>
      <c r="E292" s="10"/>
      <c r="F292" s="10"/>
    </row>
    <row r="293">
      <c r="B293" s="10"/>
      <c r="C293" s="10"/>
      <c r="D293" s="10"/>
      <c r="E293" s="10"/>
      <c r="F293" s="10"/>
    </row>
    <row r="294">
      <c r="B294" s="10"/>
      <c r="C294" s="10"/>
      <c r="D294" s="10"/>
      <c r="E294" s="10"/>
      <c r="F294" s="10"/>
    </row>
    <row r="295">
      <c r="B295" s="10"/>
      <c r="C295" s="10"/>
      <c r="D295" s="10"/>
      <c r="E295" s="10"/>
      <c r="F295" s="10"/>
    </row>
    <row r="296">
      <c r="B296" s="10"/>
      <c r="C296" s="10"/>
      <c r="D296" s="10"/>
      <c r="E296" s="10"/>
      <c r="F296" s="10"/>
    </row>
    <row r="297">
      <c r="B297" s="10"/>
      <c r="C297" s="10"/>
      <c r="D297" s="10"/>
      <c r="E297" s="10"/>
      <c r="F297" s="10"/>
    </row>
    <row r="298">
      <c r="B298" s="10"/>
      <c r="C298" s="10"/>
      <c r="D298" s="10"/>
      <c r="E298" s="10"/>
      <c r="F298" s="10"/>
    </row>
    <row r="299">
      <c r="B299" s="10"/>
      <c r="C299" s="10"/>
      <c r="D299" s="10"/>
      <c r="E299" s="10"/>
      <c r="F299" s="10"/>
    </row>
    <row r="300">
      <c r="B300" s="10"/>
      <c r="C300" s="10"/>
      <c r="D300" s="10"/>
      <c r="E300" s="10"/>
      <c r="F300" s="10"/>
    </row>
    <row r="301">
      <c r="B301" s="10"/>
      <c r="C301" s="10"/>
      <c r="D301" s="10"/>
      <c r="E301" s="10"/>
      <c r="F301" s="10"/>
    </row>
    <row r="302">
      <c r="B302" s="10"/>
      <c r="C302" s="10"/>
      <c r="D302" s="10"/>
      <c r="E302" s="10"/>
      <c r="F302" s="10"/>
    </row>
    <row r="303">
      <c r="B303" s="10"/>
      <c r="C303" s="10"/>
      <c r="D303" s="10"/>
      <c r="E303" s="10"/>
      <c r="F303" s="10"/>
    </row>
    <row r="304">
      <c r="B304" s="10"/>
      <c r="C304" s="10"/>
      <c r="D304" s="10"/>
      <c r="E304" s="10"/>
      <c r="F304" s="10"/>
    </row>
    <row r="305">
      <c r="B305" s="10"/>
      <c r="C305" s="10"/>
      <c r="D305" s="10"/>
      <c r="E305" s="10"/>
      <c r="F305" s="10"/>
    </row>
    <row r="306">
      <c r="B306" s="10"/>
      <c r="C306" s="10"/>
      <c r="D306" s="10"/>
      <c r="E306" s="10"/>
      <c r="F306" s="10"/>
    </row>
    <row r="307">
      <c r="B307" s="10"/>
      <c r="C307" s="10"/>
      <c r="D307" s="10"/>
      <c r="E307" s="10"/>
      <c r="F307" s="10"/>
    </row>
    <row r="308">
      <c r="B308" s="10"/>
      <c r="C308" s="10"/>
      <c r="D308" s="10"/>
      <c r="E308" s="10"/>
      <c r="F308" s="10"/>
    </row>
    <row r="309">
      <c r="B309" s="10"/>
      <c r="C309" s="10"/>
      <c r="D309" s="10"/>
      <c r="E309" s="10"/>
      <c r="F309" s="10"/>
    </row>
    <row r="310">
      <c r="B310" s="10"/>
      <c r="C310" s="10"/>
      <c r="D310" s="10"/>
      <c r="E310" s="10"/>
      <c r="F310" s="10"/>
    </row>
    <row r="311">
      <c r="B311" s="10"/>
      <c r="C311" s="10"/>
      <c r="D311" s="10"/>
      <c r="E311" s="10"/>
      <c r="F311" s="10"/>
    </row>
    <row r="312">
      <c r="B312" s="10"/>
      <c r="C312" s="10"/>
      <c r="D312" s="10"/>
      <c r="E312" s="10"/>
      <c r="F312" s="10"/>
    </row>
    <row r="313">
      <c r="B313" s="10"/>
      <c r="C313" s="10"/>
      <c r="D313" s="10"/>
      <c r="E313" s="10"/>
      <c r="F313" s="10"/>
    </row>
    <row r="314">
      <c r="B314" s="10"/>
      <c r="C314" s="10"/>
      <c r="D314" s="10"/>
      <c r="E314" s="10"/>
      <c r="F314" s="10"/>
    </row>
    <row r="315">
      <c r="B315" s="10"/>
      <c r="C315" s="10"/>
      <c r="D315" s="10"/>
      <c r="E315" s="10"/>
      <c r="F315" s="10"/>
    </row>
    <row r="316">
      <c r="B316" s="10"/>
      <c r="C316" s="10"/>
      <c r="D316" s="10"/>
      <c r="E316" s="10"/>
      <c r="F316" s="10"/>
    </row>
    <row r="317">
      <c r="B317" s="10"/>
      <c r="C317" s="10"/>
      <c r="D317" s="10"/>
      <c r="E317" s="10"/>
      <c r="F317" s="10"/>
    </row>
    <row r="318">
      <c r="B318" s="10"/>
      <c r="C318" s="10"/>
      <c r="D318" s="10"/>
      <c r="E318" s="10"/>
      <c r="F318" s="10"/>
    </row>
    <row r="319">
      <c r="B319" s="10"/>
      <c r="C319" s="10"/>
      <c r="D319" s="10"/>
      <c r="E319" s="10"/>
      <c r="F319" s="10"/>
    </row>
    <row r="320">
      <c r="B320" s="10"/>
      <c r="C320" s="10"/>
      <c r="D320" s="10"/>
      <c r="E320" s="10"/>
      <c r="F320" s="10"/>
    </row>
    <row r="321">
      <c r="B321" s="10"/>
      <c r="C321" s="10"/>
      <c r="D321" s="10"/>
      <c r="E321" s="10"/>
      <c r="F321" s="10"/>
    </row>
    <row r="322">
      <c r="B322" s="10"/>
      <c r="C322" s="10"/>
      <c r="D322" s="10"/>
      <c r="E322" s="10"/>
      <c r="F322" s="10"/>
    </row>
    <row r="323">
      <c r="B323" s="10"/>
      <c r="C323" s="10"/>
      <c r="D323" s="10"/>
      <c r="E323" s="10"/>
      <c r="F323" s="10"/>
    </row>
    <row r="324">
      <c r="B324" s="10"/>
      <c r="C324" s="10"/>
      <c r="D324" s="10"/>
      <c r="E324" s="10"/>
      <c r="F324" s="10"/>
    </row>
    <row r="325">
      <c r="B325" s="10"/>
      <c r="C325" s="10"/>
      <c r="D325" s="10"/>
      <c r="E325" s="10"/>
      <c r="F325" s="10"/>
    </row>
    <row r="326">
      <c r="B326" s="10"/>
      <c r="C326" s="10"/>
      <c r="D326" s="10"/>
      <c r="E326" s="10"/>
      <c r="F326" s="10"/>
    </row>
    <row r="327">
      <c r="B327" s="10"/>
      <c r="C327" s="10"/>
      <c r="D327" s="10"/>
      <c r="E327" s="10"/>
      <c r="F327" s="10"/>
    </row>
    <row r="328">
      <c r="B328" s="10"/>
      <c r="C328" s="10"/>
      <c r="D328" s="10"/>
      <c r="E328" s="10"/>
      <c r="F328" s="10"/>
    </row>
    <row r="329">
      <c r="B329" s="10"/>
      <c r="C329" s="10"/>
      <c r="D329" s="10"/>
      <c r="E329" s="10"/>
      <c r="F329" s="10"/>
    </row>
    <row r="330">
      <c r="B330" s="10"/>
      <c r="C330" s="10"/>
      <c r="D330" s="10"/>
      <c r="E330" s="10"/>
      <c r="F330" s="10"/>
    </row>
    <row r="331">
      <c r="B331" s="10"/>
      <c r="C331" s="10"/>
      <c r="D331" s="10"/>
      <c r="E331" s="10"/>
      <c r="F331" s="10"/>
    </row>
    <row r="332">
      <c r="B332" s="10"/>
      <c r="C332" s="10"/>
      <c r="D332" s="10"/>
      <c r="E332" s="10"/>
      <c r="F332" s="10"/>
    </row>
    <row r="333">
      <c r="B333" s="10"/>
      <c r="C333" s="10"/>
      <c r="D333" s="10"/>
      <c r="E333" s="10"/>
      <c r="F333" s="10"/>
    </row>
    <row r="334">
      <c r="B334" s="10"/>
      <c r="C334" s="10"/>
      <c r="D334" s="10"/>
      <c r="E334" s="10"/>
      <c r="F334" s="10"/>
    </row>
    <row r="335">
      <c r="B335" s="10"/>
      <c r="C335" s="10"/>
      <c r="D335" s="10"/>
      <c r="E335" s="10"/>
      <c r="F335" s="10"/>
    </row>
    <row r="336">
      <c r="B336" s="10"/>
      <c r="C336" s="10"/>
      <c r="D336" s="10"/>
      <c r="E336" s="10"/>
      <c r="F336" s="10"/>
    </row>
    <row r="337">
      <c r="B337" s="10"/>
      <c r="C337" s="10"/>
      <c r="D337" s="10"/>
      <c r="E337" s="10"/>
      <c r="F337" s="10"/>
    </row>
    <row r="338">
      <c r="B338" s="10"/>
      <c r="C338" s="10"/>
      <c r="D338" s="10"/>
      <c r="E338" s="10"/>
      <c r="F338" s="10"/>
    </row>
    <row r="339">
      <c r="B339" s="10"/>
      <c r="C339" s="10"/>
      <c r="D339" s="10"/>
      <c r="E339" s="10"/>
      <c r="F339" s="10"/>
    </row>
    <row r="340">
      <c r="B340" s="10"/>
      <c r="C340" s="10"/>
      <c r="D340" s="10"/>
      <c r="E340" s="10"/>
      <c r="F340" s="10"/>
    </row>
    <row r="341">
      <c r="B341" s="10"/>
      <c r="C341" s="10"/>
      <c r="D341" s="10"/>
      <c r="E341" s="10"/>
      <c r="F341" s="10"/>
    </row>
    <row r="342">
      <c r="B342" s="10"/>
      <c r="C342" s="10"/>
      <c r="D342" s="10"/>
      <c r="E342" s="10"/>
      <c r="F342" s="10"/>
    </row>
    <row r="343">
      <c r="B343" s="10"/>
      <c r="C343" s="10"/>
      <c r="D343" s="10"/>
      <c r="E343" s="10"/>
      <c r="F343" s="10"/>
    </row>
    <row r="344">
      <c r="B344" s="10"/>
      <c r="C344" s="10"/>
      <c r="D344" s="10"/>
      <c r="E344" s="10"/>
      <c r="F344" s="10"/>
    </row>
    <row r="345">
      <c r="B345" s="10"/>
      <c r="C345" s="10"/>
      <c r="D345" s="10"/>
      <c r="E345" s="10"/>
      <c r="F345" s="10"/>
    </row>
    <row r="346">
      <c r="B346" s="10"/>
      <c r="C346" s="10"/>
      <c r="D346" s="10"/>
      <c r="E346" s="10"/>
      <c r="F346" s="10"/>
    </row>
    <row r="347">
      <c r="B347" s="10"/>
      <c r="C347" s="10"/>
      <c r="D347" s="10"/>
      <c r="E347" s="10"/>
      <c r="F347" s="10"/>
    </row>
    <row r="348">
      <c r="B348" s="10"/>
      <c r="C348" s="10"/>
      <c r="D348" s="10"/>
      <c r="E348" s="10"/>
      <c r="F348" s="10"/>
    </row>
    <row r="349">
      <c r="B349" s="10"/>
      <c r="C349" s="10"/>
      <c r="D349" s="10"/>
      <c r="E349" s="10"/>
      <c r="F349" s="10"/>
    </row>
    <row r="350">
      <c r="B350" s="10"/>
      <c r="C350" s="10"/>
      <c r="D350" s="10"/>
      <c r="E350" s="10"/>
      <c r="F350" s="10"/>
    </row>
    <row r="351">
      <c r="B351" s="10"/>
      <c r="C351" s="10"/>
      <c r="D351" s="10"/>
      <c r="E351" s="10"/>
      <c r="F351" s="10"/>
    </row>
    <row r="352">
      <c r="B352" s="10"/>
      <c r="C352" s="10"/>
      <c r="D352" s="10"/>
      <c r="E352" s="10"/>
      <c r="F352" s="10"/>
    </row>
    <row r="353">
      <c r="B353" s="10"/>
      <c r="C353" s="10"/>
      <c r="D353" s="10"/>
      <c r="E353" s="10"/>
      <c r="F353" s="10"/>
    </row>
    <row r="354">
      <c r="B354" s="10"/>
      <c r="C354" s="10"/>
      <c r="D354" s="10"/>
      <c r="E354" s="10"/>
      <c r="F354" s="10"/>
    </row>
    <row r="355">
      <c r="B355" s="10"/>
      <c r="C355" s="10"/>
      <c r="D355" s="10"/>
      <c r="E355" s="10"/>
      <c r="F355" s="10"/>
    </row>
    <row r="356">
      <c r="B356" s="10"/>
      <c r="C356" s="10"/>
      <c r="D356" s="10"/>
      <c r="E356" s="10"/>
      <c r="F356" s="10"/>
    </row>
    <row r="357">
      <c r="B357" s="10"/>
      <c r="C357" s="10"/>
      <c r="D357" s="10"/>
      <c r="E357" s="10"/>
      <c r="F357" s="10"/>
    </row>
    <row r="358">
      <c r="B358" s="10"/>
      <c r="C358" s="10"/>
      <c r="D358" s="10"/>
      <c r="E358" s="10"/>
      <c r="F358" s="10"/>
    </row>
    <row r="359">
      <c r="B359" s="10"/>
      <c r="C359" s="10"/>
      <c r="D359" s="10"/>
      <c r="E359" s="10"/>
      <c r="F359" s="10"/>
    </row>
    <row r="360">
      <c r="B360" s="10"/>
      <c r="C360" s="10"/>
      <c r="D360" s="10"/>
      <c r="E360" s="10"/>
      <c r="F360" s="10"/>
    </row>
    <row r="361">
      <c r="B361" s="10"/>
      <c r="C361" s="10"/>
      <c r="D361" s="10"/>
      <c r="E361" s="10"/>
      <c r="F361" s="10"/>
    </row>
    <row r="362">
      <c r="B362" s="10"/>
      <c r="C362" s="10"/>
      <c r="D362" s="10"/>
      <c r="E362" s="10"/>
      <c r="F362" s="10"/>
    </row>
    <row r="363">
      <c r="B363" s="10"/>
      <c r="C363" s="10"/>
      <c r="D363" s="10"/>
      <c r="E363" s="10"/>
      <c r="F363" s="10"/>
    </row>
    <row r="364">
      <c r="B364" s="10"/>
      <c r="C364" s="10"/>
      <c r="D364" s="10"/>
      <c r="E364" s="10"/>
      <c r="F364" s="10"/>
    </row>
    <row r="365">
      <c r="B365" s="10"/>
      <c r="C365" s="10"/>
      <c r="D365" s="10"/>
      <c r="E365" s="10"/>
      <c r="F365" s="10"/>
    </row>
    <row r="366">
      <c r="B366" s="10"/>
      <c r="C366" s="10"/>
      <c r="D366" s="10"/>
      <c r="E366" s="10"/>
      <c r="F366" s="10"/>
    </row>
    <row r="367">
      <c r="B367" s="10"/>
      <c r="C367" s="10"/>
      <c r="D367" s="10"/>
      <c r="E367" s="10"/>
      <c r="F367" s="10"/>
    </row>
    <row r="368">
      <c r="B368" s="10"/>
      <c r="C368" s="10"/>
      <c r="D368" s="10"/>
      <c r="E368" s="10"/>
      <c r="F368" s="10"/>
    </row>
    <row r="369">
      <c r="B369" s="10"/>
      <c r="C369" s="10"/>
      <c r="D369" s="10"/>
      <c r="E369" s="10"/>
      <c r="F369" s="10"/>
    </row>
    <row r="370">
      <c r="B370" s="10"/>
      <c r="C370" s="10"/>
      <c r="D370" s="10"/>
      <c r="E370" s="10"/>
      <c r="F370" s="10"/>
    </row>
    <row r="371">
      <c r="B371" s="10"/>
      <c r="C371" s="10"/>
      <c r="D371" s="10"/>
      <c r="E371" s="10"/>
      <c r="F371" s="10"/>
    </row>
    <row r="372">
      <c r="B372" s="10"/>
      <c r="C372" s="10"/>
      <c r="D372" s="10"/>
      <c r="E372" s="10"/>
      <c r="F372" s="10"/>
    </row>
    <row r="373">
      <c r="B373" s="10"/>
      <c r="C373" s="10"/>
      <c r="D373" s="10"/>
      <c r="E373" s="10"/>
      <c r="F373" s="10"/>
    </row>
    <row r="374">
      <c r="B374" s="10"/>
      <c r="C374" s="10"/>
      <c r="D374" s="10"/>
      <c r="E374" s="10"/>
      <c r="F374" s="10"/>
    </row>
    <row r="375">
      <c r="B375" s="10"/>
      <c r="C375" s="10"/>
      <c r="D375" s="10"/>
      <c r="E375" s="10"/>
      <c r="F375" s="10"/>
    </row>
    <row r="376">
      <c r="B376" s="10"/>
      <c r="C376" s="10"/>
      <c r="D376" s="10"/>
      <c r="E376" s="10"/>
      <c r="F376" s="10"/>
    </row>
    <row r="377">
      <c r="B377" s="10"/>
      <c r="C377" s="10"/>
      <c r="D377" s="10"/>
      <c r="E377" s="10"/>
      <c r="F377" s="10"/>
    </row>
    <row r="378">
      <c r="B378" s="10"/>
      <c r="C378" s="10"/>
      <c r="D378" s="10"/>
      <c r="E378" s="10"/>
      <c r="F378" s="10"/>
    </row>
    <row r="379">
      <c r="B379" s="10"/>
      <c r="C379" s="10"/>
      <c r="D379" s="10"/>
      <c r="E379" s="10"/>
      <c r="F379" s="10"/>
    </row>
    <row r="380">
      <c r="B380" s="10"/>
      <c r="C380" s="10"/>
      <c r="D380" s="10"/>
      <c r="E380" s="10"/>
      <c r="F380" s="10"/>
    </row>
    <row r="381">
      <c r="B381" s="10"/>
      <c r="C381" s="10"/>
      <c r="D381" s="10"/>
      <c r="E381" s="10"/>
      <c r="F381" s="10"/>
    </row>
    <row r="382">
      <c r="B382" s="10"/>
      <c r="C382" s="10"/>
      <c r="D382" s="10"/>
      <c r="E382" s="10"/>
      <c r="F382" s="10"/>
    </row>
    <row r="383">
      <c r="B383" s="10"/>
      <c r="C383" s="10"/>
      <c r="D383" s="10"/>
      <c r="E383" s="10"/>
      <c r="F383" s="10"/>
    </row>
    <row r="384">
      <c r="B384" s="10"/>
      <c r="C384" s="10"/>
      <c r="D384" s="10"/>
      <c r="E384" s="10"/>
      <c r="F384" s="10"/>
    </row>
    <row r="385">
      <c r="B385" s="10"/>
      <c r="C385" s="10"/>
      <c r="D385" s="10"/>
      <c r="E385" s="10"/>
      <c r="F385" s="10"/>
    </row>
    <row r="386">
      <c r="B386" s="10"/>
      <c r="C386" s="10"/>
      <c r="D386" s="10"/>
      <c r="E386" s="10"/>
      <c r="F386" s="10"/>
    </row>
    <row r="387">
      <c r="B387" s="10"/>
      <c r="C387" s="10"/>
      <c r="D387" s="10"/>
      <c r="E387" s="10"/>
      <c r="F387" s="10"/>
    </row>
    <row r="388">
      <c r="B388" s="10"/>
      <c r="C388" s="10"/>
      <c r="D388" s="10"/>
      <c r="E388" s="10"/>
      <c r="F388" s="10"/>
    </row>
    <row r="389">
      <c r="B389" s="10"/>
      <c r="C389" s="10"/>
      <c r="D389" s="10"/>
      <c r="E389" s="10"/>
      <c r="F389" s="10"/>
    </row>
    <row r="390">
      <c r="B390" s="10"/>
      <c r="C390" s="10"/>
      <c r="D390" s="10"/>
      <c r="E390" s="10"/>
      <c r="F390" s="10"/>
    </row>
    <row r="391">
      <c r="B391" s="10"/>
      <c r="C391" s="10"/>
      <c r="D391" s="10"/>
      <c r="E391" s="10"/>
      <c r="F391" s="10"/>
    </row>
    <row r="392">
      <c r="B392" s="10"/>
      <c r="C392" s="10"/>
      <c r="D392" s="10"/>
      <c r="E392" s="10"/>
      <c r="F392" s="10"/>
    </row>
    <row r="393">
      <c r="B393" s="10"/>
      <c r="C393" s="10"/>
      <c r="D393" s="10"/>
      <c r="E393" s="10"/>
      <c r="F393" s="10"/>
    </row>
    <row r="394">
      <c r="B394" s="10"/>
      <c r="C394" s="10"/>
      <c r="D394" s="10"/>
      <c r="E394" s="10"/>
      <c r="F394" s="10"/>
    </row>
    <row r="395">
      <c r="B395" s="10"/>
      <c r="C395" s="10"/>
      <c r="D395" s="10"/>
      <c r="E395" s="10"/>
      <c r="F395" s="10"/>
    </row>
    <row r="396">
      <c r="B396" s="10"/>
      <c r="C396" s="10"/>
      <c r="D396" s="10"/>
      <c r="E396" s="10"/>
      <c r="F396" s="10"/>
    </row>
    <row r="397">
      <c r="B397" s="10"/>
      <c r="C397" s="10"/>
      <c r="D397" s="10"/>
      <c r="E397" s="10"/>
      <c r="F397" s="10"/>
    </row>
    <row r="398">
      <c r="B398" s="10"/>
      <c r="C398" s="10"/>
      <c r="D398" s="10"/>
      <c r="E398" s="10"/>
      <c r="F398" s="10"/>
    </row>
    <row r="399">
      <c r="B399" s="10"/>
      <c r="C399" s="10"/>
      <c r="D399" s="10"/>
      <c r="E399" s="10"/>
      <c r="F399" s="10"/>
    </row>
    <row r="400">
      <c r="B400" s="10"/>
      <c r="C400" s="10"/>
      <c r="D400" s="10"/>
      <c r="E400" s="10"/>
      <c r="F400" s="10"/>
    </row>
    <row r="401">
      <c r="B401" s="10"/>
      <c r="C401" s="10"/>
      <c r="D401" s="10"/>
      <c r="E401" s="10"/>
      <c r="F401" s="10"/>
    </row>
    <row r="402">
      <c r="B402" s="10"/>
      <c r="C402" s="10"/>
      <c r="D402" s="10"/>
      <c r="E402" s="10"/>
      <c r="F402" s="10"/>
    </row>
    <row r="403">
      <c r="B403" s="10"/>
      <c r="C403" s="10"/>
      <c r="D403" s="10"/>
      <c r="E403" s="10"/>
      <c r="F403" s="10"/>
    </row>
    <row r="404">
      <c r="B404" s="10"/>
      <c r="C404" s="10"/>
      <c r="D404" s="10"/>
      <c r="E404" s="10"/>
      <c r="F404" s="10"/>
    </row>
    <row r="405">
      <c r="B405" s="10"/>
      <c r="C405" s="10"/>
      <c r="D405" s="10"/>
      <c r="E405" s="10"/>
      <c r="F405" s="10"/>
    </row>
    <row r="406">
      <c r="B406" s="10"/>
      <c r="C406" s="10"/>
      <c r="D406" s="10"/>
      <c r="E406" s="10"/>
      <c r="F406" s="10"/>
    </row>
    <row r="407">
      <c r="B407" s="10"/>
      <c r="C407" s="10"/>
      <c r="D407" s="10"/>
      <c r="E407" s="10"/>
      <c r="F407" s="10"/>
    </row>
    <row r="408">
      <c r="B408" s="10"/>
      <c r="C408" s="10"/>
      <c r="D408" s="10"/>
      <c r="E408" s="10"/>
      <c r="F408" s="10"/>
    </row>
    <row r="409">
      <c r="B409" s="10"/>
      <c r="C409" s="10"/>
      <c r="D409" s="10"/>
      <c r="E409" s="10"/>
      <c r="F409" s="10"/>
    </row>
    <row r="410">
      <c r="B410" s="10"/>
      <c r="C410" s="10"/>
      <c r="D410" s="10"/>
      <c r="E410" s="10"/>
      <c r="F410" s="10"/>
    </row>
    <row r="411">
      <c r="B411" s="10"/>
      <c r="C411" s="10"/>
      <c r="D411" s="10"/>
      <c r="E411" s="10"/>
      <c r="F411" s="10"/>
    </row>
    <row r="412">
      <c r="B412" s="10"/>
      <c r="C412" s="10"/>
      <c r="D412" s="10"/>
      <c r="E412" s="10"/>
      <c r="F412" s="10"/>
    </row>
    <row r="413">
      <c r="B413" s="10"/>
      <c r="C413" s="10"/>
      <c r="D413" s="10"/>
      <c r="E413" s="10"/>
      <c r="F413" s="10"/>
    </row>
    <row r="414">
      <c r="B414" s="10"/>
      <c r="C414" s="10"/>
      <c r="D414" s="10"/>
      <c r="E414" s="10"/>
      <c r="F414" s="10"/>
    </row>
    <row r="415">
      <c r="B415" s="10"/>
      <c r="C415" s="10"/>
      <c r="D415" s="10"/>
      <c r="E415" s="10"/>
      <c r="F415" s="10"/>
    </row>
    <row r="416">
      <c r="B416" s="10"/>
      <c r="C416" s="10"/>
      <c r="D416" s="10"/>
      <c r="E416" s="10"/>
      <c r="F416" s="10"/>
    </row>
    <row r="417">
      <c r="B417" s="10"/>
      <c r="C417" s="10"/>
      <c r="D417" s="10"/>
      <c r="E417" s="10"/>
      <c r="F417" s="10"/>
    </row>
    <row r="418">
      <c r="B418" s="10"/>
      <c r="C418" s="10"/>
      <c r="D418" s="10"/>
      <c r="E418" s="10"/>
      <c r="F418" s="10"/>
    </row>
    <row r="419">
      <c r="B419" s="10"/>
      <c r="C419" s="10"/>
      <c r="D419" s="10"/>
      <c r="E419" s="10"/>
      <c r="F419" s="10"/>
    </row>
    <row r="420">
      <c r="B420" s="10"/>
      <c r="C420" s="10"/>
      <c r="D420" s="10"/>
      <c r="E420" s="10"/>
      <c r="F420" s="10"/>
    </row>
    <row r="421">
      <c r="B421" s="10"/>
      <c r="C421" s="10"/>
      <c r="D421" s="10"/>
      <c r="E421" s="10"/>
      <c r="F421" s="10"/>
    </row>
    <row r="422">
      <c r="B422" s="10"/>
      <c r="C422" s="10"/>
      <c r="D422" s="10"/>
      <c r="E422" s="10"/>
      <c r="F422" s="10"/>
    </row>
    <row r="423">
      <c r="B423" s="10"/>
      <c r="C423" s="10"/>
      <c r="D423" s="10"/>
      <c r="E423" s="10"/>
      <c r="F423" s="10"/>
    </row>
    <row r="424">
      <c r="B424" s="10"/>
      <c r="C424" s="10"/>
      <c r="D424" s="10"/>
      <c r="E424" s="10"/>
      <c r="F424" s="10"/>
    </row>
    <row r="425">
      <c r="B425" s="10"/>
      <c r="C425" s="10"/>
      <c r="D425" s="10"/>
      <c r="E425" s="10"/>
      <c r="F425" s="10"/>
    </row>
    <row r="426">
      <c r="B426" s="10"/>
      <c r="C426" s="10"/>
      <c r="D426" s="10"/>
      <c r="E426" s="10"/>
      <c r="F426" s="10"/>
    </row>
    <row r="427">
      <c r="B427" s="10"/>
      <c r="C427" s="10"/>
      <c r="D427" s="10"/>
      <c r="E427" s="10"/>
      <c r="F427" s="10"/>
    </row>
    <row r="428">
      <c r="B428" s="10"/>
      <c r="C428" s="10"/>
      <c r="D428" s="10"/>
      <c r="E428" s="10"/>
      <c r="F428" s="10"/>
    </row>
    <row r="429">
      <c r="B429" s="10"/>
      <c r="C429" s="10"/>
      <c r="D429" s="10"/>
      <c r="E429" s="10"/>
      <c r="F429" s="10"/>
    </row>
    <row r="430">
      <c r="B430" s="10"/>
      <c r="C430" s="10"/>
      <c r="D430" s="10"/>
      <c r="E430" s="10"/>
      <c r="F430" s="10"/>
    </row>
    <row r="431">
      <c r="B431" s="10"/>
      <c r="C431" s="10"/>
      <c r="D431" s="10"/>
      <c r="E431" s="10"/>
      <c r="F431" s="10"/>
    </row>
    <row r="432">
      <c r="B432" s="10"/>
      <c r="C432" s="10"/>
      <c r="D432" s="10"/>
      <c r="E432" s="10"/>
      <c r="F432" s="10"/>
    </row>
    <row r="433">
      <c r="B433" s="10"/>
      <c r="C433" s="10"/>
      <c r="D433" s="10"/>
      <c r="E433" s="10"/>
      <c r="F433" s="10"/>
    </row>
    <row r="434">
      <c r="B434" s="10"/>
      <c r="C434" s="10"/>
      <c r="D434" s="10"/>
      <c r="E434" s="10"/>
      <c r="F434" s="10"/>
    </row>
    <row r="435">
      <c r="B435" s="10"/>
      <c r="C435" s="10"/>
      <c r="D435" s="10"/>
      <c r="E435" s="10"/>
      <c r="F435" s="10"/>
    </row>
    <row r="436">
      <c r="B436" s="10"/>
      <c r="C436" s="10"/>
      <c r="D436" s="10"/>
      <c r="E436" s="10"/>
      <c r="F436" s="10"/>
    </row>
    <row r="437">
      <c r="B437" s="10"/>
      <c r="C437" s="10"/>
      <c r="D437" s="10"/>
      <c r="E437" s="10"/>
      <c r="F437" s="10"/>
    </row>
    <row r="438">
      <c r="B438" s="10"/>
      <c r="C438" s="10"/>
      <c r="D438" s="10"/>
      <c r="E438" s="10"/>
      <c r="F438" s="10"/>
    </row>
    <row r="439">
      <c r="B439" s="10"/>
      <c r="C439" s="10"/>
      <c r="D439" s="10"/>
      <c r="E439" s="10"/>
      <c r="F439" s="10"/>
    </row>
    <row r="440">
      <c r="B440" s="10"/>
      <c r="C440" s="10"/>
      <c r="D440" s="10"/>
      <c r="E440" s="10"/>
      <c r="F440" s="10"/>
    </row>
    <row r="441">
      <c r="B441" s="10"/>
      <c r="C441" s="10"/>
      <c r="D441" s="10"/>
      <c r="E441" s="10"/>
      <c r="F441" s="10"/>
    </row>
    <row r="442">
      <c r="B442" s="10"/>
      <c r="C442" s="10"/>
      <c r="D442" s="10"/>
      <c r="E442" s="10"/>
      <c r="F442" s="10"/>
    </row>
    <row r="443">
      <c r="B443" s="10"/>
      <c r="C443" s="10"/>
      <c r="D443" s="10"/>
      <c r="E443" s="10"/>
      <c r="F443" s="10"/>
    </row>
    <row r="444">
      <c r="B444" s="10"/>
      <c r="C444" s="10"/>
      <c r="D444" s="10"/>
      <c r="E444" s="10"/>
      <c r="F444" s="10"/>
    </row>
    <row r="445">
      <c r="B445" s="10"/>
      <c r="C445" s="10"/>
      <c r="D445" s="10"/>
      <c r="E445" s="10"/>
      <c r="F445" s="10"/>
    </row>
    <row r="446">
      <c r="B446" s="10"/>
      <c r="C446" s="10"/>
      <c r="D446" s="10"/>
      <c r="E446" s="10"/>
      <c r="F446" s="10"/>
    </row>
    <row r="447">
      <c r="B447" s="10"/>
      <c r="C447" s="10"/>
      <c r="D447" s="10"/>
      <c r="E447" s="10"/>
      <c r="F447" s="10"/>
    </row>
    <row r="448">
      <c r="B448" s="10"/>
      <c r="C448" s="10"/>
      <c r="D448" s="10"/>
      <c r="E448" s="10"/>
      <c r="F448" s="10"/>
    </row>
    <row r="449">
      <c r="B449" s="10"/>
      <c r="C449" s="10"/>
      <c r="D449" s="10"/>
      <c r="E449" s="10"/>
      <c r="F449" s="10"/>
    </row>
    <row r="450">
      <c r="B450" s="10"/>
      <c r="C450" s="10"/>
      <c r="D450" s="10"/>
      <c r="E450" s="10"/>
      <c r="F450" s="10"/>
    </row>
    <row r="451">
      <c r="B451" s="10"/>
      <c r="C451" s="10"/>
      <c r="D451" s="10"/>
      <c r="E451" s="10"/>
      <c r="F451" s="10"/>
    </row>
    <row r="452">
      <c r="B452" s="10"/>
      <c r="C452" s="10"/>
      <c r="D452" s="10"/>
      <c r="E452" s="10"/>
      <c r="F452" s="10"/>
    </row>
    <row r="453">
      <c r="B453" s="10"/>
      <c r="C453" s="10"/>
      <c r="D453" s="10"/>
      <c r="E453" s="10"/>
      <c r="F453" s="10"/>
    </row>
    <row r="454">
      <c r="B454" s="10"/>
      <c r="C454" s="10"/>
      <c r="D454" s="10"/>
      <c r="E454" s="10"/>
      <c r="F454" s="10"/>
    </row>
    <row r="455">
      <c r="B455" s="10"/>
      <c r="C455" s="10"/>
      <c r="D455" s="10"/>
      <c r="E455" s="10"/>
      <c r="F455" s="10"/>
    </row>
    <row r="456">
      <c r="B456" s="10"/>
      <c r="C456" s="10"/>
      <c r="D456" s="10"/>
      <c r="E456" s="10"/>
      <c r="F456" s="10"/>
    </row>
    <row r="457">
      <c r="B457" s="10"/>
      <c r="C457" s="10"/>
      <c r="D457" s="10"/>
      <c r="E457" s="10"/>
      <c r="F457" s="10"/>
    </row>
    <row r="458">
      <c r="B458" s="10"/>
      <c r="C458" s="10"/>
      <c r="D458" s="10"/>
      <c r="E458" s="10"/>
      <c r="F458" s="10"/>
    </row>
    <row r="459">
      <c r="B459" s="10"/>
      <c r="C459" s="10"/>
      <c r="D459" s="10"/>
      <c r="E459" s="10"/>
      <c r="F459" s="10"/>
    </row>
    <row r="460">
      <c r="B460" s="10"/>
      <c r="C460" s="10"/>
      <c r="D460" s="10"/>
      <c r="E460" s="10"/>
      <c r="F460" s="10"/>
    </row>
    <row r="461">
      <c r="B461" s="10"/>
      <c r="C461" s="10"/>
      <c r="D461" s="10"/>
      <c r="E461" s="10"/>
      <c r="F461" s="10"/>
    </row>
    <row r="462">
      <c r="B462" s="10"/>
      <c r="C462" s="10"/>
      <c r="D462" s="10"/>
      <c r="E462" s="10"/>
      <c r="F462" s="10"/>
    </row>
    <row r="463">
      <c r="B463" s="10"/>
      <c r="C463" s="10"/>
      <c r="D463" s="10"/>
      <c r="E463" s="10"/>
      <c r="F463" s="10"/>
    </row>
    <row r="464">
      <c r="B464" s="10"/>
      <c r="C464" s="10"/>
      <c r="D464" s="10"/>
      <c r="E464" s="10"/>
      <c r="F464" s="10"/>
    </row>
    <row r="465">
      <c r="B465" s="10"/>
      <c r="C465" s="10"/>
      <c r="D465" s="10"/>
      <c r="E465" s="10"/>
      <c r="F465" s="10"/>
    </row>
    <row r="466">
      <c r="B466" s="10"/>
      <c r="C466" s="10"/>
      <c r="D466" s="10"/>
      <c r="E466" s="10"/>
      <c r="F466" s="10"/>
    </row>
    <row r="467">
      <c r="B467" s="10"/>
      <c r="C467" s="10"/>
      <c r="D467" s="10"/>
      <c r="E467" s="10"/>
      <c r="F467" s="10"/>
    </row>
    <row r="468">
      <c r="B468" s="10"/>
      <c r="C468" s="10"/>
      <c r="D468" s="10"/>
      <c r="E468" s="10"/>
      <c r="F468" s="10"/>
    </row>
    <row r="469">
      <c r="B469" s="10"/>
      <c r="C469" s="10"/>
      <c r="D469" s="10"/>
      <c r="E469" s="10"/>
      <c r="F469" s="10"/>
    </row>
    <row r="470">
      <c r="B470" s="10"/>
      <c r="C470" s="10"/>
      <c r="D470" s="10"/>
      <c r="E470" s="10"/>
      <c r="F470" s="10"/>
    </row>
    <row r="471">
      <c r="B471" s="10"/>
      <c r="C471" s="10"/>
      <c r="D471" s="10"/>
      <c r="E471" s="10"/>
      <c r="F471" s="10"/>
    </row>
    <row r="472">
      <c r="B472" s="10"/>
      <c r="C472" s="10"/>
      <c r="D472" s="10"/>
      <c r="E472" s="10"/>
      <c r="F472" s="10"/>
    </row>
    <row r="473">
      <c r="B473" s="10"/>
      <c r="C473" s="10"/>
      <c r="D473" s="10"/>
      <c r="E473" s="10"/>
      <c r="F473" s="10"/>
    </row>
    <row r="474">
      <c r="B474" s="10"/>
      <c r="C474" s="10"/>
      <c r="D474" s="10"/>
      <c r="E474" s="10"/>
      <c r="F474" s="10"/>
    </row>
    <row r="475">
      <c r="B475" s="10"/>
      <c r="C475" s="10"/>
      <c r="D475" s="10"/>
      <c r="E475" s="10"/>
      <c r="F475" s="10"/>
    </row>
    <row r="476">
      <c r="B476" s="10"/>
      <c r="C476" s="10"/>
      <c r="D476" s="10"/>
      <c r="E476" s="10"/>
      <c r="F476" s="10"/>
    </row>
    <row r="477">
      <c r="B477" s="10"/>
      <c r="C477" s="10"/>
      <c r="D477" s="10"/>
      <c r="E477" s="10"/>
      <c r="F477" s="10"/>
    </row>
    <row r="478">
      <c r="B478" s="10"/>
      <c r="C478" s="10"/>
      <c r="D478" s="10"/>
      <c r="E478" s="10"/>
      <c r="F478" s="10"/>
    </row>
    <row r="479">
      <c r="B479" s="10"/>
      <c r="C479" s="10"/>
      <c r="D479" s="10"/>
      <c r="E479" s="10"/>
      <c r="F479" s="10"/>
    </row>
    <row r="480">
      <c r="B480" s="10"/>
      <c r="C480" s="10"/>
      <c r="D480" s="10"/>
      <c r="E480" s="10"/>
      <c r="F480" s="10"/>
    </row>
    <row r="481">
      <c r="B481" s="10"/>
      <c r="C481" s="10"/>
      <c r="D481" s="10"/>
      <c r="E481" s="10"/>
      <c r="F481" s="10"/>
    </row>
    <row r="482">
      <c r="B482" s="10"/>
      <c r="C482" s="10"/>
      <c r="D482" s="10"/>
      <c r="E482" s="10"/>
      <c r="F482" s="10"/>
    </row>
    <row r="483">
      <c r="B483" s="10"/>
      <c r="C483" s="10"/>
      <c r="D483" s="10"/>
      <c r="E483" s="10"/>
      <c r="F483" s="10"/>
    </row>
    <row r="484">
      <c r="B484" s="10"/>
      <c r="C484" s="10"/>
      <c r="D484" s="10"/>
      <c r="E484" s="10"/>
      <c r="F484" s="10"/>
    </row>
    <row r="485">
      <c r="B485" s="10"/>
      <c r="C485" s="10"/>
      <c r="D485" s="10"/>
      <c r="E485" s="10"/>
      <c r="F485" s="10"/>
    </row>
    <row r="486">
      <c r="B486" s="10"/>
      <c r="C486" s="10"/>
      <c r="D486" s="10"/>
      <c r="E486" s="10"/>
      <c r="F486" s="10"/>
    </row>
    <row r="487">
      <c r="B487" s="10"/>
      <c r="C487" s="10"/>
      <c r="D487" s="10"/>
      <c r="E487" s="10"/>
      <c r="F487" s="10"/>
    </row>
    <row r="488">
      <c r="B488" s="10"/>
      <c r="C488" s="10"/>
      <c r="D488" s="10"/>
      <c r="E488" s="10"/>
      <c r="F488" s="10"/>
    </row>
    <row r="489">
      <c r="B489" s="10"/>
      <c r="C489" s="10"/>
      <c r="D489" s="10"/>
      <c r="E489" s="10"/>
      <c r="F489" s="10"/>
    </row>
    <row r="490">
      <c r="B490" s="10"/>
      <c r="C490" s="10"/>
      <c r="D490" s="10"/>
      <c r="E490" s="10"/>
      <c r="F490" s="10"/>
    </row>
    <row r="491">
      <c r="B491" s="10"/>
      <c r="C491" s="10"/>
      <c r="D491" s="10"/>
      <c r="E491" s="10"/>
      <c r="F491" s="10"/>
    </row>
    <row r="492">
      <c r="B492" s="10"/>
      <c r="C492" s="10"/>
      <c r="D492" s="10"/>
      <c r="E492" s="10"/>
      <c r="F492" s="10"/>
    </row>
    <row r="493">
      <c r="B493" s="10"/>
      <c r="C493" s="10"/>
      <c r="D493" s="10"/>
      <c r="E493" s="10"/>
      <c r="F493" s="10"/>
    </row>
    <row r="494">
      <c r="B494" s="10"/>
      <c r="C494" s="10"/>
      <c r="D494" s="10"/>
      <c r="E494" s="10"/>
      <c r="F494" s="10"/>
    </row>
    <row r="495">
      <c r="B495" s="10"/>
      <c r="C495" s="10"/>
      <c r="D495" s="10"/>
      <c r="E495" s="10"/>
      <c r="F495" s="10"/>
    </row>
    <row r="496">
      <c r="B496" s="10"/>
      <c r="C496" s="10"/>
      <c r="D496" s="10"/>
      <c r="E496" s="10"/>
      <c r="F496" s="10"/>
    </row>
    <row r="497">
      <c r="B497" s="10"/>
      <c r="C497" s="10"/>
      <c r="D497" s="10"/>
      <c r="E497" s="10"/>
      <c r="F497" s="10"/>
    </row>
    <row r="498">
      <c r="B498" s="10"/>
      <c r="C498" s="10"/>
      <c r="D498" s="10"/>
      <c r="E498" s="10"/>
      <c r="F498" s="10"/>
    </row>
    <row r="499">
      <c r="B499" s="10"/>
      <c r="C499" s="10"/>
      <c r="D499" s="10"/>
      <c r="E499" s="10"/>
      <c r="F499" s="10"/>
    </row>
    <row r="500">
      <c r="B500" s="10"/>
      <c r="C500" s="10"/>
      <c r="D500" s="10"/>
      <c r="E500" s="10"/>
      <c r="F500" s="10"/>
    </row>
    <row r="501">
      <c r="B501" s="10"/>
      <c r="C501" s="10"/>
      <c r="D501" s="10"/>
      <c r="E501" s="10"/>
      <c r="F501" s="10"/>
    </row>
    <row r="502">
      <c r="B502" s="10"/>
      <c r="C502" s="10"/>
      <c r="D502" s="10"/>
      <c r="E502" s="10"/>
      <c r="F502" s="10"/>
    </row>
    <row r="503">
      <c r="B503" s="10"/>
      <c r="C503" s="10"/>
      <c r="D503" s="10"/>
      <c r="E503" s="10"/>
      <c r="F503" s="10"/>
    </row>
    <row r="504">
      <c r="B504" s="10"/>
      <c r="C504" s="10"/>
      <c r="D504" s="10"/>
      <c r="E504" s="10"/>
      <c r="F504" s="10"/>
    </row>
    <row r="505">
      <c r="B505" s="10"/>
      <c r="C505" s="10"/>
      <c r="D505" s="10"/>
      <c r="E505" s="10"/>
      <c r="F505" s="10"/>
    </row>
    <row r="506">
      <c r="B506" s="10"/>
      <c r="C506" s="10"/>
      <c r="D506" s="10"/>
      <c r="E506" s="10"/>
      <c r="F506" s="10"/>
    </row>
    <row r="507">
      <c r="B507" s="10"/>
      <c r="C507" s="10"/>
      <c r="D507" s="10"/>
      <c r="E507" s="10"/>
      <c r="F507" s="10"/>
    </row>
    <row r="508">
      <c r="B508" s="10"/>
      <c r="C508" s="10"/>
      <c r="D508" s="10"/>
      <c r="E508" s="10"/>
      <c r="F508" s="10"/>
    </row>
    <row r="509">
      <c r="B509" s="10"/>
      <c r="C509" s="10"/>
      <c r="D509" s="10"/>
      <c r="E509" s="10"/>
      <c r="F509" s="10"/>
    </row>
    <row r="510">
      <c r="B510" s="10"/>
      <c r="C510" s="10"/>
      <c r="D510" s="10"/>
      <c r="E510" s="10"/>
      <c r="F510" s="10"/>
    </row>
    <row r="511">
      <c r="B511" s="10"/>
      <c r="C511" s="10"/>
      <c r="D511" s="10"/>
      <c r="E511" s="10"/>
      <c r="F511" s="10"/>
    </row>
    <row r="512">
      <c r="B512" s="10"/>
      <c r="C512" s="10"/>
      <c r="D512" s="10"/>
      <c r="E512" s="10"/>
      <c r="F512" s="10"/>
    </row>
    <row r="513">
      <c r="B513" s="10"/>
      <c r="C513" s="10"/>
      <c r="D513" s="10"/>
      <c r="E513" s="10"/>
      <c r="F513" s="10"/>
    </row>
    <row r="514">
      <c r="B514" s="10"/>
      <c r="C514" s="10"/>
      <c r="D514" s="10"/>
      <c r="E514" s="10"/>
      <c r="F514" s="10"/>
    </row>
    <row r="515">
      <c r="B515" s="10"/>
      <c r="C515" s="10"/>
      <c r="D515" s="10"/>
      <c r="E515" s="10"/>
      <c r="F515" s="10"/>
    </row>
    <row r="516">
      <c r="B516" s="10"/>
      <c r="C516" s="10"/>
      <c r="D516" s="10"/>
      <c r="E516" s="10"/>
      <c r="F516" s="10"/>
    </row>
    <row r="517">
      <c r="B517" s="10"/>
      <c r="C517" s="10"/>
      <c r="D517" s="10"/>
      <c r="E517" s="10"/>
      <c r="F517" s="10"/>
    </row>
    <row r="518">
      <c r="B518" s="10"/>
      <c r="C518" s="10"/>
      <c r="D518" s="10"/>
      <c r="E518" s="10"/>
      <c r="F518" s="10"/>
    </row>
    <row r="519">
      <c r="B519" s="10"/>
      <c r="C519" s="10"/>
      <c r="D519" s="10"/>
      <c r="E519" s="10"/>
      <c r="F519" s="10"/>
    </row>
    <row r="520">
      <c r="B520" s="10"/>
      <c r="C520" s="10"/>
      <c r="D520" s="10"/>
      <c r="E520" s="10"/>
      <c r="F520" s="10"/>
    </row>
    <row r="521">
      <c r="B521" s="10"/>
      <c r="C521" s="10"/>
      <c r="D521" s="10"/>
      <c r="E521" s="10"/>
      <c r="F521" s="10"/>
    </row>
    <row r="522">
      <c r="B522" s="10"/>
      <c r="C522" s="10"/>
      <c r="D522" s="10"/>
      <c r="E522" s="10"/>
      <c r="F522" s="10"/>
    </row>
    <row r="523">
      <c r="B523" s="10"/>
      <c r="C523" s="10"/>
      <c r="D523" s="10"/>
      <c r="E523" s="10"/>
      <c r="F523" s="10"/>
    </row>
    <row r="524">
      <c r="B524" s="10"/>
      <c r="C524" s="10"/>
      <c r="D524" s="10"/>
      <c r="E524" s="10"/>
      <c r="F524" s="10"/>
    </row>
    <row r="525">
      <c r="B525" s="10"/>
      <c r="C525" s="10"/>
      <c r="D525" s="10"/>
      <c r="E525" s="10"/>
      <c r="F525" s="10"/>
    </row>
    <row r="526">
      <c r="B526" s="10"/>
      <c r="C526" s="10"/>
      <c r="D526" s="10"/>
      <c r="E526" s="10"/>
      <c r="F526" s="10"/>
    </row>
    <row r="527">
      <c r="B527" s="10"/>
      <c r="C527" s="10"/>
      <c r="D527" s="10"/>
      <c r="E527" s="10"/>
      <c r="F527" s="10"/>
    </row>
    <row r="528">
      <c r="B528" s="10"/>
      <c r="C528" s="10"/>
      <c r="D528" s="10"/>
      <c r="E528" s="10"/>
      <c r="F528" s="10"/>
    </row>
    <row r="529">
      <c r="B529" s="10"/>
      <c r="C529" s="10"/>
      <c r="D529" s="10"/>
      <c r="E529" s="10"/>
      <c r="F529" s="10"/>
    </row>
    <row r="530">
      <c r="B530" s="10"/>
      <c r="C530" s="10"/>
      <c r="D530" s="10"/>
      <c r="E530" s="10"/>
      <c r="F530" s="10"/>
    </row>
    <row r="531">
      <c r="B531" s="10"/>
      <c r="C531" s="10"/>
      <c r="D531" s="10"/>
      <c r="E531" s="10"/>
      <c r="F531" s="10"/>
    </row>
    <row r="532">
      <c r="B532" s="10"/>
      <c r="C532" s="10"/>
      <c r="D532" s="10"/>
      <c r="E532" s="10"/>
      <c r="F532" s="10"/>
    </row>
    <row r="533">
      <c r="B533" s="10"/>
      <c r="C533" s="10"/>
      <c r="D533" s="10"/>
      <c r="E533" s="10"/>
      <c r="F533" s="10"/>
    </row>
    <row r="534">
      <c r="B534" s="10"/>
      <c r="C534" s="10"/>
      <c r="D534" s="10"/>
      <c r="E534" s="10"/>
      <c r="F534" s="10"/>
    </row>
    <row r="535">
      <c r="B535" s="10"/>
      <c r="C535" s="10"/>
      <c r="D535" s="10"/>
      <c r="E535" s="10"/>
      <c r="F535" s="10"/>
    </row>
    <row r="536">
      <c r="B536" s="10"/>
      <c r="C536" s="10"/>
      <c r="D536" s="10"/>
      <c r="E536" s="10"/>
      <c r="F536" s="10"/>
    </row>
    <row r="537">
      <c r="B537" s="10"/>
      <c r="C537" s="10"/>
      <c r="D537" s="10"/>
      <c r="E537" s="10"/>
      <c r="F537" s="10"/>
    </row>
    <row r="538">
      <c r="B538" s="10"/>
      <c r="C538" s="10"/>
      <c r="D538" s="10"/>
      <c r="E538" s="10"/>
      <c r="F538" s="10"/>
    </row>
    <row r="539">
      <c r="B539" s="10"/>
      <c r="C539" s="10"/>
      <c r="D539" s="10"/>
      <c r="E539" s="10"/>
      <c r="F539" s="10"/>
    </row>
    <row r="540">
      <c r="B540" s="10"/>
      <c r="C540" s="10"/>
      <c r="D540" s="10"/>
      <c r="E540" s="10"/>
      <c r="F540" s="10"/>
    </row>
    <row r="541">
      <c r="B541" s="10"/>
      <c r="C541" s="10"/>
      <c r="D541" s="10"/>
      <c r="E541" s="10"/>
      <c r="F541" s="10"/>
    </row>
    <row r="542">
      <c r="B542" s="10"/>
      <c r="C542" s="10"/>
      <c r="D542" s="10"/>
      <c r="E542" s="10"/>
      <c r="F542" s="10"/>
    </row>
    <row r="543">
      <c r="B543" s="10"/>
      <c r="C543" s="10"/>
      <c r="D543" s="10"/>
      <c r="E543" s="10"/>
      <c r="F543" s="10"/>
    </row>
    <row r="544">
      <c r="B544" s="10"/>
      <c r="C544" s="10"/>
      <c r="D544" s="10"/>
      <c r="E544" s="10"/>
      <c r="F544" s="10"/>
    </row>
    <row r="545">
      <c r="B545" s="10"/>
      <c r="C545" s="10"/>
      <c r="D545" s="10"/>
      <c r="E545" s="10"/>
      <c r="F545" s="10"/>
    </row>
    <row r="546">
      <c r="B546" s="10"/>
      <c r="C546" s="10"/>
      <c r="D546" s="10"/>
      <c r="E546" s="10"/>
      <c r="F546" s="10"/>
    </row>
    <row r="547">
      <c r="B547" s="10"/>
      <c r="C547" s="10"/>
      <c r="D547" s="10"/>
      <c r="E547" s="10"/>
      <c r="F547" s="10"/>
    </row>
    <row r="548">
      <c r="B548" s="10"/>
      <c r="C548" s="10"/>
      <c r="D548" s="10"/>
      <c r="E548" s="10"/>
      <c r="F548" s="10"/>
    </row>
    <row r="549">
      <c r="B549" s="10"/>
      <c r="C549" s="10"/>
      <c r="D549" s="10"/>
      <c r="E549" s="10"/>
      <c r="F549" s="10"/>
    </row>
    <row r="550">
      <c r="B550" s="10"/>
      <c r="C550" s="10"/>
      <c r="D550" s="10"/>
      <c r="E550" s="10"/>
      <c r="F550" s="10"/>
    </row>
    <row r="551">
      <c r="B551" s="10"/>
      <c r="C551" s="10"/>
      <c r="D551" s="10"/>
      <c r="E551" s="10"/>
      <c r="F551" s="10"/>
    </row>
    <row r="552">
      <c r="B552" s="10"/>
      <c r="C552" s="10"/>
      <c r="D552" s="10"/>
      <c r="E552" s="10"/>
      <c r="F552" s="10"/>
    </row>
    <row r="553">
      <c r="B553" s="10"/>
      <c r="C553" s="10"/>
      <c r="D553" s="10"/>
      <c r="E553" s="10"/>
      <c r="F553" s="10"/>
    </row>
    <row r="554">
      <c r="B554" s="10"/>
      <c r="C554" s="10"/>
      <c r="D554" s="10"/>
      <c r="E554" s="10"/>
      <c r="F554" s="10"/>
    </row>
    <row r="555">
      <c r="B555" s="10"/>
      <c r="C555" s="10"/>
      <c r="D555" s="10"/>
      <c r="E555" s="10"/>
      <c r="F555" s="10"/>
    </row>
    <row r="556">
      <c r="B556" s="10"/>
      <c r="C556" s="10"/>
      <c r="D556" s="10"/>
      <c r="E556" s="10"/>
      <c r="F556" s="10"/>
    </row>
    <row r="557">
      <c r="B557" s="10"/>
      <c r="C557" s="10"/>
      <c r="D557" s="10"/>
      <c r="E557" s="10"/>
      <c r="F557" s="10"/>
    </row>
    <row r="558">
      <c r="B558" s="10"/>
      <c r="C558" s="10"/>
      <c r="D558" s="10"/>
      <c r="E558" s="10"/>
      <c r="F558" s="10"/>
    </row>
    <row r="559">
      <c r="B559" s="10"/>
      <c r="C559" s="10"/>
      <c r="D559" s="10"/>
      <c r="E559" s="10"/>
      <c r="F559" s="10"/>
    </row>
    <row r="560">
      <c r="B560" s="10"/>
      <c r="C560" s="10"/>
      <c r="D560" s="10"/>
      <c r="E560" s="10"/>
      <c r="F560" s="10"/>
    </row>
    <row r="561">
      <c r="B561" s="10"/>
      <c r="C561" s="10"/>
      <c r="D561" s="10"/>
      <c r="E561" s="10"/>
      <c r="F561" s="10"/>
    </row>
    <row r="562">
      <c r="B562" s="10"/>
      <c r="C562" s="10"/>
      <c r="D562" s="10"/>
      <c r="E562" s="10"/>
      <c r="F562" s="10"/>
    </row>
    <row r="563">
      <c r="B563" s="10"/>
      <c r="C563" s="10"/>
      <c r="D563" s="10"/>
      <c r="E563" s="10"/>
      <c r="F563" s="10"/>
    </row>
    <row r="564">
      <c r="B564" s="10"/>
      <c r="C564" s="10"/>
      <c r="D564" s="10"/>
      <c r="E564" s="10"/>
      <c r="F564" s="10"/>
    </row>
    <row r="565">
      <c r="B565" s="10"/>
      <c r="C565" s="10"/>
      <c r="D565" s="10"/>
      <c r="E565" s="10"/>
      <c r="F565" s="10"/>
    </row>
    <row r="566">
      <c r="B566" s="10"/>
      <c r="C566" s="10"/>
      <c r="D566" s="10"/>
      <c r="E566" s="10"/>
      <c r="F566" s="10"/>
    </row>
    <row r="567">
      <c r="B567" s="10"/>
      <c r="C567" s="10"/>
      <c r="D567" s="10"/>
      <c r="E567" s="10"/>
      <c r="F567" s="10"/>
    </row>
    <row r="568">
      <c r="B568" s="10"/>
      <c r="C568" s="10"/>
      <c r="D568" s="10"/>
      <c r="E568" s="10"/>
      <c r="F568" s="10"/>
    </row>
    <row r="569">
      <c r="B569" s="10"/>
      <c r="C569" s="10"/>
      <c r="D569" s="10"/>
      <c r="E569" s="10"/>
      <c r="F569" s="10"/>
    </row>
    <row r="570">
      <c r="B570" s="10"/>
      <c r="C570" s="10"/>
      <c r="D570" s="10"/>
      <c r="E570" s="10"/>
      <c r="F570" s="10"/>
    </row>
    <row r="571">
      <c r="B571" s="10"/>
      <c r="C571" s="10"/>
      <c r="D571" s="10"/>
      <c r="E571" s="10"/>
      <c r="F571" s="10"/>
    </row>
    <row r="572">
      <c r="B572" s="10"/>
      <c r="C572" s="10"/>
      <c r="D572" s="10"/>
      <c r="E572" s="10"/>
      <c r="F572" s="10"/>
    </row>
    <row r="573">
      <c r="B573" s="10"/>
      <c r="C573" s="10"/>
      <c r="D573" s="10"/>
      <c r="E573" s="10"/>
      <c r="F573" s="10"/>
    </row>
    <row r="574">
      <c r="B574" s="10"/>
      <c r="C574" s="10"/>
      <c r="D574" s="10"/>
      <c r="E574" s="10"/>
      <c r="F574" s="10"/>
    </row>
    <row r="575">
      <c r="B575" s="10"/>
      <c r="C575" s="10"/>
      <c r="D575" s="10"/>
      <c r="E575" s="10"/>
      <c r="F575" s="10"/>
    </row>
    <row r="576">
      <c r="B576" s="10"/>
      <c r="C576" s="10"/>
      <c r="D576" s="10"/>
      <c r="E576" s="10"/>
      <c r="F576" s="10"/>
    </row>
    <row r="577">
      <c r="B577" s="10"/>
      <c r="C577" s="10"/>
      <c r="D577" s="10"/>
      <c r="E577" s="10"/>
      <c r="F577" s="10"/>
    </row>
    <row r="578">
      <c r="B578" s="10"/>
      <c r="C578" s="10"/>
      <c r="D578" s="10"/>
      <c r="E578" s="10"/>
      <c r="F578" s="10"/>
    </row>
    <row r="579">
      <c r="B579" s="10"/>
      <c r="C579" s="10"/>
      <c r="D579" s="10"/>
      <c r="E579" s="10"/>
      <c r="F579" s="10"/>
    </row>
    <row r="580">
      <c r="B580" s="10"/>
      <c r="C580" s="10"/>
      <c r="D580" s="10"/>
      <c r="E580" s="10"/>
      <c r="F580" s="10"/>
    </row>
    <row r="581">
      <c r="B581" s="10"/>
      <c r="C581" s="10"/>
      <c r="D581" s="10"/>
      <c r="E581" s="10"/>
      <c r="F581" s="10"/>
    </row>
    <row r="582">
      <c r="B582" s="10"/>
      <c r="C582" s="10"/>
      <c r="D582" s="10"/>
      <c r="E582" s="10"/>
      <c r="F582" s="10"/>
    </row>
    <row r="583">
      <c r="B583" s="10"/>
      <c r="C583" s="10"/>
      <c r="D583" s="10"/>
      <c r="E583" s="10"/>
      <c r="F583" s="10"/>
    </row>
    <row r="584">
      <c r="B584" s="10"/>
      <c r="C584" s="10"/>
      <c r="D584" s="10"/>
      <c r="E584" s="10"/>
      <c r="F584" s="10"/>
    </row>
    <row r="585">
      <c r="B585" s="10"/>
      <c r="C585" s="10"/>
      <c r="D585" s="10"/>
      <c r="E585" s="10"/>
      <c r="F585" s="10"/>
    </row>
    <row r="586">
      <c r="B586" s="10"/>
      <c r="C586" s="10"/>
      <c r="D586" s="10"/>
      <c r="E586" s="10"/>
      <c r="F586" s="10"/>
    </row>
    <row r="587">
      <c r="B587" s="10"/>
      <c r="C587" s="10"/>
      <c r="D587" s="10"/>
      <c r="E587" s="10"/>
      <c r="F587" s="10"/>
    </row>
    <row r="588">
      <c r="B588" s="10"/>
      <c r="C588" s="10"/>
      <c r="D588" s="10"/>
      <c r="E588" s="10"/>
      <c r="F588" s="10"/>
    </row>
    <row r="589">
      <c r="B589" s="10"/>
      <c r="C589" s="10"/>
      <c r="D589" s="10"/>
      <c r="E589" s="10"/>
      <c r="F589" s="10"/>
    </row>
    <row r="590">
      <c r="B590" s="10"/>
      <c r="C590" s="10"/>
      <c r="D590" s="10"/>
      <c r="E590" s="10"/>
      <c r="F590" s="10"/>
    </row>
    <row r="591">
      <c r="B591" s="10"/>
      <c r="C591" s="10"/>
      <c r="D591" s="10"/>
      <c r="E591" s="10"/>
      <c r="F591" s="10"/>
    </row>
    <row r="592">
      <c r="B592" s="10"/>
      <c r="C592" s="10"/>
      <c r="D592" s="10"/>
      <c r="E592" s="10"/>
      <c r="F592" s="10"/>
    </row>
    <row r="593">
      <c r="B593" s="10"/>
      <c r="C593" s="10"/>
      <c r="D593" s="10"/>
      <c r="E593" s="10"/>
      <c r="F593" s="10"/>
    </row>
    <row r="594">
      <c r="B594" s="10"/>
      <c r="C594" s="10"/>
      <c r="D594" s="10"/>
      <c r="E594" s="10"/>
      <c r="F594" s="10"/>
    </row>
    <row r="595">
      <c r="B595" s="10"/>
      <c r="C595" s="10"/>
      <c r="D595" s="10"/>
      <c r="E595" s="10"/>
      <c r="F595" s="10"/>
    </row>
    <row r="596">
      <c r="B596" s="10"/>
      <c r="C596" s="10"/>
      <c r="D596" s="10"/>
      <c r="E596" s="10"/>
      <c r="F596" s="10"/>
    </row>
    <row r="597">
      <c r="B597" s="10"/>
      <c r="C597" s="10"/>
      <c r="D597" s="10"/>
      <c r="E597" s="10"/>
      <c r="F597" s="10"/>
    </row>
    <row r="598">
      <c r="B598" s="10"/>
      <c r="C598" s="10"/>
      <c r="D598" s="10"/>
      <c r="E598" s="10"/>
      <c r="F598" s="10"/>
    </row>
    <row r="599">
      <c r="B599" s="10"/>
      <c r="C599" s="10"/>
      <c r="D599" s="10"/>
      <c r="E599" s="10"/>
      <c r="F599" s="10"/>
    </row>
    <row r="600">
      <c r="B600" s="10"/>
      <c r="C600" s="10"/>
      <c r="D600" s="10"/>
      <c r="E600" s="10"/>
      <c r="F600" s="10"/>
    </row>
    <row r="601">
      <c r="B601" s="10"/>
      <c r="C601" s="10"/>
      <c r="D601" s="10"/>
      <c r="E601" s="10"/>
      <c r="F601" s="10"/>
    </row>
    <row r="602">
      <c r="B602" s="10"/>
      <c r="C602" s="10"/>
      <c r="D602" s="10"/>
      <c r="E602" s="10"/>
      <c r="F602" s="10"/>
    </row>
    <row r="603">
      <c r="B603" s="10"/>
      <c r="C603" s="10"/>
      <c r="D603" s="10"/>
      <c r="E603" s="10"/>
      <c r="F603" s="10"/>
    </row>
    <row r="604">
      <c r="B604" s="10"/>
      <c r="C604" s="10"/>
      <c r="D604" s="10"/>
      <c r="E604" s="10"/>
      <c r="F604" s="10"/>
    </row>
    <row r="605">
      <c r="B605" s="10"/>
      <c r="C605" s="10"/>
      <c r="D605" s="10"/>
      <c r="E605" s="10"/>
      <c r="F605" s="10"/>
    </row>
    <row r="606">
      <c r="B606" s="10"/>
      <c r="C606" s="10"/>
      <c r="D606" s="10"/>
      <c r="E606" s="10"/>
      <c r="F606" s="10"/>
    </row>
    <row r="607">
      <c r="B607" s="10"/>
      <c r="C607" s="10"/>
      <c r="D607" s="10"/>
      <c r="E607" s="10"/>
      <c r="F607" s="10"/>
    </row>
    <row r="608">
      <c r="B608" s="10"/>
      <c r="C608" s="10"/>
      <c r="D608" s="10"/>
      <c r="E608" s="10"/>
      <c r="F608" s="10"/>
    </row>
    <row r="609">
      <c r="B609" s="10"/>
      <c r="C609" s="10"/>
      <c r="D609" s="10"/>
      <c r="E609" s="10"/>
      <c r="F609" s="10"/>
    </row>
    <row r="610">
      <c r="B610" s="10"/>
      <c r="C610" s="10"/>
      <c r="D610" s="10"/>
      <c r="E610" s="10"/>
      <c r="F610" s="10"/>
    </row>
    <row r="611">
      <c r="B611" s="10"/>
      <c r="C611" s="10"/>
      <c r="D611" s="10"/>
      <c r="E611" s="10"/>
      <c r="F611" s="10"/>
    </row>
    <row r="612">
      <c r="B612" s="10"/>
      <c r="C612" s="10"/>
      <c r="D612" s="10"/>
      <c r="E612" s="10"/>
      <c r="F612" s="10"/>
    </row>
    <row r="613">
      <c r="B613" s="10"/>
      <c r="C613" s="10"/>
      <c r="D613" s="10"/>
      <c r="E613" s="10"/>
      <c r="F613" s="10"/>
    </row>
    <row r="614">
      <c r="B614" s="10"/>
      <c r="C614" s="10"/>
      <c r="D614" s="10"/>
      <c r="E614" s="10"/>
      <c r="F614" s="10"/>
    </row>
    <row r="615">
      <c r="B615" s="10"/>
      <c r="C615" s="10"/>
      <c r="D615" s="10"/>
      <c r="E615" s="10"/>
      <c r="F615" s="10"/>
    </row>
    <row r="616">
      <c r="B616" s="10"/>
      <c r="C616" s="10"/>
      <c r="D616" s="10"/>
      <c r="E616" s="10"/>
      <c r="F616" s="10"/>
    </row>
    <row r="617">
      <c r="B617" s="10"/>
      <c r="C617" s="10"/>
      <c r="D617" s="10"/>
      <c r="E617" s="10"/>
      <c r="F617" s="10"/>
    </row>
    <row r="618">
      <c r="B618" s="10"/>
      <c r="C618" s="10"/>
      <c r="D618" s="10"/>
      <c r="E618" s="10"/>
      <c r="F618" s="10"/>
    </row>
    <row r="619">
      <c r="B619" s="10"/>
      <c r="C619" s="10"/>
      <c r="D619" s="10"/>
      <c r="E619" s="10"/>
      <c r="F619" s="10"/>
    </row>
    <row r="620">
      <c r="B620" s="10"/>
      <c r="C620" s="10"/>
      <c r="D620" s="10"/>
      <c r="E620" s="10"/>
      <c r="F620" s="10"/>
    </row>
    <row r="621">
      <c r="B621" s="10"/>
      <c r="C621" s="10"/>
      <c r="D621" s="10"/>
      <c r="E621" s="10"/>
      <c r="F621" s="10"/>
    </row>
    <row r="622">
      <c r="B622" s="10"/>
      <c r="C622" s="10"/>
      <c r="D622" s="10"/>
      <c r="E622" s="10"/>
      <c r="F622" s="10"/>
    </row>
    <row r="623">
      <c r="B623" s="10"/>
      <c r="C623" s="10"/>
      <c r="D623" s="10"/>
      <c r="E623" s="10"/>
      <c r="F623" s="10"/>
    </row>
    <row r="624">
      <c r="B624" s="10"/>
      <c r="C624" s="10"/>
      <c r="D624" s="10"/>
      <c r="E624" s="10"/>
      <c r="F624" s="10"/>
    </row>
    <row r="625">
      <c r="B625" s="10"/>
      <c r="C625" s="10"/>
      <c r="D625" s="10"/>
      <c r="E625" s="10"/>
      <c r="F625" s="10"/>
    </row>
    <row r="626">
      <c r="B626" s="10"/>
      <c r="C626" s="10"/>
      <c r="D626" s="10"/>
      <c r="E626" s="10"/>
      <c r="F626" s="10"/>
    </row>
    <row r="627">
      <c r="B627" s="10"/>
      <c r="C627" s="10"/>
      <c r="D627" s="10"/>
      <c r="E627" s="10"/>
      <c r="F627" s="10"/>
    </row>
    <row r="628">
      <c r="B628" s="10"/>
      <c r="C628" s="10"/>
      <c r="D628" s="10"/>
      <c r="E628" s="10"/>
      <c r="F628" s="10"/>
    </row>
    <row r="629">
      <c r="B629" s="10"/>
      <c r="C629" s="10"/>
      <c r="D629" s="10"/>
      <c r="E629" s="10"/>
      <c r="F629" s="10"/>
    </row>
    <row r="630">
      <c r="B630" s="10"/>
      <c r="C630" s="10"/>
      <c r="D630" s="10"/>
      <c r="E630" s="10"/>
      <c r="F630" s="10"/>
    </row>
    <row r="631">
      <c r="B631" s="10"/>
      <c r="C631" s="10"/>
      <c r="D631" s="10"/>
      <c r="E631" s="10"/>
      <c r="F631" s="10"/>
    </row>
    <row r="632">
      <c r="B632" s="10"/>
      <c r="C632" s="10"/>
      <c r="D632" s="10"/>
      <c r="E632" s="10"/>
      <c r="F632" s="10"/>
    </row>
    <row r="633">
      <c r="B633" s="10"/>
      <c r="C633" s="10"/>
      <c r="D633" s="10"/>
      <c r="E633" s="10"/>
      <c r="F633" s="10"/>
    </row>
    <row r="634">
      <c r="B634" s="10"/>
      <c r="C634" s="10"/>
      <c r="D634" s="10"/>
      <c r="E634" s="10"/>
      <c r="F634" s="10"/>
    </row>
    <row r="635">
      <c r="B635" s="10"/>
      <c r="C635" s="10"/>
      <c r="D635" s="10"/>
      <c r="E635" s="10"/>
      <c r="F635" s="10"/>
    </row>
    <row r="636">
      <c r="B636" s="10"/>
      <c r="C636" s="10"/>
      <c r="D636" s="10"/>
      <c r="E636" s="10"/>
      <c r="F636" s="10"/>
    </row>
    <row r="637">
      <c r="B637" s="10"/>
      <c r="C637" s="10"/>
      <c r="D637" s="10"/>
      <c r="E637" s="10"/>
      <c r="F637" s="10"/>
    </row>
    <row r="638">
      <c r="B638" s="10"/>
      <c r="C638" s="10"/>
      <c r="D638" s="10"/>
      <c r="E638" s="10"/>
      <c r="F638" s="10"/>
    </row>
    <row r="639">
      <c r="B639" s="10"/>
      <c r="C639" s="10"/>
      <c r="D639" s="10"/>
      <c r="E639" s="10"/>
      <c r="F639" s="10"/>
    </row>
    <row r="640">
      <c r="B640" s="10"/>
      <c r="C640" s="10"/>
      <c r="D640" s="10"/>
      <c r="E640" s="10"/>
      <c r="F640" s="10"/>
    </row>
    <row r="641">
      <c r="B641" s="10"/>
      <c r="C641" s="10"/>
      <c r="D641" s="10"/>
      <c r="E641" s="10"/>
      <c r="F641" s="10"/>
    </row>
    <row r="642">
      <c r="B642" s="10"/>
      <c r="C642" s="10"/>
      <c r="D642" s="10"/>
      <c r="E642" s="10"/>
      <c r="F642" s="10"/>
    </row>
    <row r="643">
      <c r="B643" s="10"/>
      <c r="C643" s="10"/>
      <c r="D643" s="10"/>
      <c r="E643" s="10"/>
      <c r="F643" s="10"/>
    </row>
    <row r="644">
      <c r="B644" s="10"/>
      <c r="C644" s="10"/>
      <c r="D644" s="10"/>
      <c r="E644" s="10"/>
      <c r="F644" s="10"/>
    </row>
    <row r="645">
      <c r="B645" s="10"/>
      <c r="C645" s="10"/>
      <c r="D645" s="10"/>
      <c r="E645" s="10"/>
      <c r="F645" s="10"/>
    </row>
    <row r="646">
      <c r="B646" s="10"/>
      <c r="C646" s="10"/>
      <c r="D646" s="10"/>
      <c r="E646" s="10"/>
      <c r="F646" s="10"/>
    </row>
    <row r="647">
      <c r="B647" s="10"/>
      <c r="C647" s="10"/>
      <c r="D647" s="10"/>
      <c r="E647" s="10"/>
      <c r="F647" s="10"/>
    </row>
    <row r="648">
      <c r="B648" s="10"/>
      <c r="C648" s="10"/>
      <c r="D648" s="10"/>
      <c r="E648" s="10"/>
      <c r="F648" s="10"/>
    </row>
    <row r="649">
      <c r="B649" s="10"/>
      <c r="C649" s="10"/>
      <c r="D649" s="10"/>
      <c r="E649" s="10"/>
      <c r="F649" s="10"/>
    </row>
    <row r="650">
      <c r="B650" s="10"/>
      <c r="C650" s="10"/>
      <c r="D650" s="10"/>
      <c r="E650" s="10"/>
      <c r="F650" s="10"/>
    </row>
    <row r="651">
      <c r="B651" s="10"/>
      <c r="C651" s="10"/>
      <c r="D651" s="10"/>
      <c r="E651" s="10"/>
      <c r="F651" s="10"/>
    </row>
    <row r="652">
      <c r="B652" s="10"/>
      <c r="C652" s="10"/>
      <c r="D652" s="10"/>
      <c r="E652" s="10"/>
      <c r="F652" s="10"/>
    </row>
    <row r="653">
      <c r="B653" s="10"/>
      <c r="C653" s="10"/>
      <c r="D653" s="10"/>
      <c r="E653" s="10"/>
      <c r="F653" s="10"/>
    </row>
    <row r="654">
      <c r="B654" s="10"/>
      <c r="C654" s="10"/>
      <c r="D654" s="10"/>
      <c r="E654" s="10"/>
      <c r="F654" s="10"/>
    </row>
    <row r="655">
      <c r="B655" s="10"/>
      <c r="C655" s="10"/>
      <c r="D655" s="10"/>
      <c r="E655" s="10"/>
      <c r="F655" s="10"/>
    </row>
    <row r="656">
      <c r="B656" s="10"/>
      <c r="C656" s="10"/>
      <c r="D656" s="10"/>
      <c r="E656" s="10"/>
      <c r="F656" s="10"/>
    </row>
    <row r="657">
      <c r="B657" s="10"/>
      <c r="C657" s="10"/>
      <c r="D657" s="10"/>
      <c r="E657" s="10"/>
      <c r="F657" s="10"/>
    </row>
    <row r="658">
      <c r="B658" s="10"/>
      <c r="C658" s="10"/>
      <c r="D658" s="10"/>
      <c r="E658" s="10"/>
      <c r="F658" s="10"/>
    </row>
    <row r="659">
      <c r="B659" s="10"/>
      <c r="C659" s="10"/>
      <c r="D659" s="10"/>
      <c r="E659" s="10"/>
      <c r="F659" s="10"/>
    </row>
    <row r="660">
      <c r="B660" s="10"/>
      <c r="C660" s="10"/>
      <c r="D660" s="10"/>
      <c r="E660" s="10"/>
      <c r="F660" s="10"/>
    </row>
    <row r="661">
      <c r="B661" s="10"/>
      <c r="C661" s="10"/>
      <c r="D661" s="10"/>
      <c r="E661" s="10"/>
      <c r="F661" s="10"/>
    </row>
    <row r="662">
      <c r="B662" s="10"/>
      <c r="C662" s="10"/>
      <c r="D662" s="10"/>
      <c r="E662" s="10"/>
      <c r="F662" s="10"/>
    </row>
    <row r="663">
      <c r="B663" s="10"/>
      <c r="C663" s="10"/>
      <c r="D663" s="10"/>
      <c r="E663" s="10"/>
      <c r="F663" s="10"/>
    </row>
    <row r="664">
      <c r="B664" s="10"/>
      <c r="C664" s="10"/>
      <c r="D664" s="10"/>
      <c r="E664" s="10"/>
      <c r="F664" s="10"/>
    </row>
    <row r="665">
      <c r="B665" s="10"/>
      <c r="C665" s="10"/>
      <c r="D665" s="10"/>
      <c r="E665" s="10"/>
      <c r="F665" s="10"/>
    </row>
    <row r="666">
      <c r="B666" s="10"/>
      <c r="C666" s="10"/>
      <c r="D666" s="10"/>
      <c r="E666" s="10"/>
      <c r="F666" s="10"/>
    </row>
    <row r="667">
      <c r="B667" s="10"/>
      <c r="C667" s="10"/>
      <c r="D667" s="10"/>
      <c r="E667" s="10"/>
      <c r="F667" s="10"/>
    </row>
    <row r="668">
      <c r="B668" s="10"/>
      <c r="C668" s="10"/>
      <c r="D668" s="10"/>
      <c r="E668" s="10"/>
      <c r="F668" s="10"/>
    </row>
    <row r="669">
      <c r="B669" s="10"/>
      <c r="C669" s="10"/>
      <c r="D669" s="10"/>
      <c r="E669" s="10"/>
      <c r="F669" s="10"/>
    </row>
    <row r="670">
      <c r="B670" s="10"/>
      <c r="C670" s="10"/>
      <c r="D670" s="10"/>
      <c r="E670" s="10"/>
      <c r="F670" s="10"/>
    </row>
    <row r="671">
      <c r="B671" s="10"/>
      <c r="C671" s="10"/>
      <c r="D671" s="10"/>
      <c r="E671" s="10"/>
      <c r="F671" s="10"/>
    </row>
    <row r="672">
      <c r="B672" s="10"/>
      <c r="C672" s="10"/>
      <c r="D672" s="10"/>
      <c r="E672" s="10"/>
      <c r="F672" s="10"/>
    </row>
    <row r="673">
      <c r="B673" s="10"/>
      <c r="C673" s="10"/>
      <c r="D673" s="10"/>
      <c r="E673" s="10"/>
      <c r="F673" s="10"/>
    </row>
    <row r="674">
      <c r="B674" s="10"/>
      <c r="C674" s="10"/>
      <c r="D674" s="10"/>
      <c r="E674" s="10"/>
      <c r="F674" s="10"/>
    </row>
    <row r="675">
      <c r="B675" s="10"/>
      <c r="C675" s="10"/>
      <c r="D675" s="10"/>
      <c r="E675" s="10"/>
      <c r="F675" s="10"/>
    </row>
    <row r="676">
      <c r="B676" s="10"/>
      <c r="C676" s="10"/>
      <c r="D676" s="10"/>
      <c r="E676" s="10"/>
      <c r="F676" s="10"/>
    </row>
    <row r="677">
      <c r="B677" s="10"/>
      <c r="C677" s="10"/>
      <c r="D677" s="10"/>
      <c r="E677" s="10"/>
      <c r="F677" s="10"/>
    </row>
    <row r="678">
      <c r="B678" s="10"/>
      <c r="C678" s="10"/>
      <c r="D678" s="10"/>
      <c r="E678" s="10"/>
      <c r="F678" s="10"/>
    </row>
    <row r="679">
      <c r="B679" s="10"/>
      <c r="C679" s="10"/>
      <c r="D679" s="10"/>
      <c r="E679" s="10"/>
      <c r="F679" s="10"/>
    </row>
    <row r="680">
      <c r="B680" s="10"/>
      <c r="C680" s="10"/>
      <c r="D680" s="10"/>
      <c r="E680" s="10"/>
      <c r="F680" s="10"/>
    </row>
    <row r="681">
      <c r="B681" s="10"/>
      <c r="C681" s="10"/>
      <c r="D681" s="10"/>
      <c r="E681" s="10"/>
      <c r="F681" s="10"/>
    </row>
    <row r="682">
      <c r="B682" s="10"/>
      <c r="C682" s="10"/>
      <c r="D682" s="10"/>
      <c r="E682" s="10"/>
      <c r="F682" s="10"/>
    </row>
    <row r="683">
      <c r="B683" s="10"/>
      <c r="C683" s="10"/>
      <c r="D683" s="10"/>
      <c r="E683" s="10"/>
      <c r="F683" s="10"/>
    </row>
    <row r="684">
      <c r="B684" s="10"/>
      <c r="C684" s="10"/>
      <c r="D684" s="10"/>
      <c r="E684" s="10"/>
      <c r="F684" s="10"/>
    </row>
    <row r="685">
      <c r="B685" s="10"/>
      <c r="C685" s="10"/>
      <c r="D685" s="10"/>
      <c r="E685" s="10"/>
      <c r="F685" s="10"/>
    </row>
    <row r="686">
      <c r="B686" s="10"/>
      <c r="C686" s="10"/>
      <c r="D686" s="10"/>
      <c r="E686" s="10"/>
      <c r="F686" s="10"/>
    </row>
    <row r="687">
      <c r="B687" s="10"/>
      <c r="C687" s="10"/>
      <c r="D687" s="10"/>
      <c r="E687" s="10"/>
      <c r="F687" s="10"/>
    </row>
    <row r="688">
      <c r="B688" s="10"/>
      <c r="C688" s="10"/>
      <c r="D688" s="10"/>
      <c r="E688" s="10"/>
      <c r="F688" s="10"/>
    </row>
    <row r="689">
      <c r="B689" s="10"/>
      <c r="C689" s="10"/>
      <c r="D689" s="10"/>
      <c r="E689" s="10"/>
      <c r="F689" s="10"/>
    </row>
    <row r="690">
      <c r="B690" s="10"/>
      <c r="C690" s="10"/>
      <c r="D690" s="10"/>
      <c r="E690" s="10"/>
      <c r="F690" s="10"/>
    </row>
    <row r="691">
      <c r="B691" s="10"/>
      <c r="C691" s="10"/>
      <c r="D691" s="10"/>
      <c r="E691" s="10"/>
      <c r="F691" s="10"/>
    </row>
    <row r="692">
      <c r="B692" s="10"/>
      <c r="C692" s="10"/>
      <c r="D692" s="10"/>
      <c r="E692" s="10"/>
      <c r="F692" s="10"/>
    </row>
    <row r="693">
      <c r="B693" s="10"/>
      <c r="C693" s="10"/>
      <c r="D693" s="10"/>
      <c r="E693" s="10"/>
      <c r="F693" s="10"/>
    </row>
    <row r="694">
      <c r="B694" s="10"/>
      <c r="C694" s="10"/>
      <c r="D694" s="10"/>
      <c r="E694" s="10"/>
      <c r="F694" s="10"/>
    </row>
    <row r="695">
      <c r="B695" s="10"/>
      <c r="C695" s="10"/>
      <c r="D695" s="10"/>
      <c r="E695" s="10"/>
      <c r="F695" s="10"/>
    </row>
    <row r="696">
      <c r="B696" s="10"/>
      <c r="C696" s="10"/>
      <c r="D696" s="10"/>
      <c r="E696" s="10"/>
      <c r="F696" s="10"/>
    </row>
    <row r="697">
      <c r="B697" s="10"/>
      <c r="C697" s="10"/>
      <c r="D697" s="10"/>
      <c r="E697" s="10"/>
      <c r="F697" s="10"/>
    </row>
    <row r="698">
      <c r="B698" s="10"/>
      <c r="C698" s="10"/>
      <c r="D698" s="10"/>
      <c r="E698" s="10"/>
      <c r="F698" s="10"/>
    </row>
    <row r="699">
      <c r="B699" s="10"/>
      <c r="C699" s="10"/>
      <c r="D699" s="10"/>
      <c r="E699" s="10"/>
      <c r="F699" s="10"/>
    </row>
    <row r="700">
      <c r="B700" s="10"/>
      <c r="C700" s="10"/>
      <c r="D700" s="10"/>
      <c r="E700" s="10"/>
      <c r="F700" s="10"/>
    </row>
    <row r="701">
      <c r="B701" s="10"/>
      <c r="C701" s="10"/>
      <c r="D701" s="10"/>
      <c r="E701" s="10"/>
      <c r="F701" s="10"/>
    </row>
    <row r="702">
      <c r="B702" s="10"/>
      <c r="C702" s="10"/>
      <c r="D702" s="10"/>
      <c r="E702" s="10"/>
      <c r="F702" s="10"/>
    </row>
    <row r="703">
      <c r="B703" s="10"/>
      <c r="C703" s="10"/>
      <c r="D703" s="10"/>
      <c r="E703" s="10"/>
      <c r="F703" s="10"/>
    </row>
    <row r="704">
      <c r="B704" s="10"/>
      <c r="C704" s="10"/>
      <c r="D704" s="10"/>
      <c r="E704" s="10"/>
      <c r="F704" s="10"/>
    </row>
    <row r="705">
      <c r="B705" s="10"/>
      <c r="C705" s="10"/>
      <c r="D705" s="10"/>
      <c r="E705" s="10"/>
      <c r="F705" s="10"/>
    </row>
    <row r="706">
      <c r="B706" s="10"/>
      <c r="C706" s="10"/>
      <c r="D706" s="10"/>
      <c r="E706" s="10"/>
      <c r="F706" s="10"/>
    </row>
    <row r="707">
      <c r="B707" s="10"/>
      <c r="C707" s="10"/>
      <c r="D707" s="10"/>
      <c r="E707" s="10"/>
      <c r="F707" s="10"/>
    </row>
    <row r="708">
      <c r="B708" s="10"/>
      <c r="C708" s="10"/>
      <c r="D708" s="10"/>
      <c r="E708" s="10"/>
      <c r="F708" s="10"/>
    </row>
    <row r="709">
      <c r="B709" s="10"/>
      <c r="C709" s="10"/>
      <c r="D709" s="10"/>
      <c r="E709" s="10"/>
      <c r="F709" s="10"/>
    </row>
    <row r="710">
      <c r="B710" s="10"/>
      <c r="C710" s="10"/>
      <c r="D710" s="10"/>
      <c r="E710" s="10"/>
      <c r="F710" s="10"/>
    </row>
    <row r="711">
      <c r="B711" s="10"/>
      <c r="C711" s="10"/>
      <c r="D711" s="10"/>
      <c r="E711" s="10"/>
      <c r="F711" s="10"/>
    </row>
    <row r="712">
      <c r="B712" s="10"/>
      <c r="C712" s="10"/>
      <c r="D712" s="10"/>
      <c r="E712" s="10"/>
      <c r="F712" s="10"/>
    </row>
    <row r="713">
      <c r="B713" s="10"/>
      <c r="C713" s="10"/>
      <c r="D713" s="10"/>
      <c r="E713" s="10"/>
      <c r="F713" s="10"/>
    </row>
    <row r="714">
      <c r="B714" s="10"/>
      <c r="C714" s="10"/>
      <c r="D714" s="10"/>
      <c r="E714" s="10"/>
      <c r="F714" s="10"/>
    </row>
    <row r="715">
      <c r="B715" s="10"/>
      <c r="C715" s="10"/>
      <c r="D715" s="10"/>
      <c r="E715" s="10"/>
      <c r="F715" s="10"/>
    </row>
    <row r="716">
      <c r="B716" s="10"/>
      <c r="C716" s="10"/>
      <c r="D716" s="10"/>
      <c r="E716" s="10"/>
      <c r="F716" s="10"/>
    </row>
    <row r="717">
      <c r="B717" s="10"/>
      <c r="C717" s="10"/>
      <c r="D717" s="10"/>
      <c r="E717" s="10"/>
      <c r="F717" s="10"/>
    </row>
    <row r="718">
      <c r="B718" s="10"/>
      <c r="C718" s="10"/>
      <c r="D718" s="10"/>
      <c r="E718" s="10"/>
      <c r="F718" s="10"/>
    </row>
    <row r="719">
      <c r="B719" s="10"/>
      <c r="C719" s="10"/>
      <c r="D719" s="10"/>
      <c r="E719" s="10"/>
      <c r="F719" s="10"/>
    </row>
    <row r="720">
      <c r="B720" s="10"/>
      <c r="C720" s="10"/>
      <c r="D720" s="10"/>
      <c r="E720" s="10"/>
      <c r="F720" s="10"/>
    </row>
    <row r="721">
      <c r="B721" s="10"/>
      <c r="C721" s="10"/>
      <c r="D721" s="10"/>
      <c r="E721" s="10"/>
      <c r="F721" s="10"/>
    </row>
    <row r="722">
      <c r="B722" s="10"/>
      <c r="C722" s="10"/>
      <c r="D722" s="10"/>
      <c r="E722" s="10"/>
      <c r="F722" s="10"/>
    </row>
    <row r="723">
      <c r="B723" s="10"/>
      <c r="C723" s="10"/>
      <c r="D723" s="10"/>
      <c r="E723" s="10"/>
      <c r="F723" s="10"/>
    </row>
    <row r="724">
      <c r="B724" s="10"/>
      <c r="C724" s="10"/>
      <c r="D724" s="10"/>
      <c r="E724" s="10"/>
      <c r="F724" s="10"/>
    </row>
    <row r="725">
      <c r="B725" s="10"/>
      <c r="C725" s="10"/>
      <c r="D725" s="10"/>
      <c r="E725" s="10"/>
      <c r="F725" s="10"/>
    </row>
    <row r="726">
      <c r="B726" s="10"/>
      <c r="C726" s="10"/>
      <c r="D726" s="10"/>
      <c r="E726" s="10"/>
      <c r="F726" s="10"/>
    </row>
    <row r="727">
      <c r="B727" s="10"/>
      <c r="C727" s="10"/>
      <c r="D727" s="10"/>
      <c r="E727" s="10"/>
      <c r="F727" s="10"/>
    </row>
    <row r="728">
      <c r="B728" s="10"/>
      <c r="C728" s="10"/>
      <c r="D728" s="10"/>
      <c r="E728" s="10"/>
      <c r="F728" s="10"/>
    </row>
    <row r="729">
      <c r="B729" s="10"/>
      <c r="C729" s="10"/>
      <c r="D729" s="10"/>
      <c r="E729" s="10"/>
      <c r="F729" s="10"/>
    </row>
    <row r="730">
      <c r="B730" s="10"/>
      <c r="C730" s="10"/>
      <c r="D730" s="10"/>
      <c r="E730" s="10"/>
      <c r="F730" s="10"/>
    </row>
    <row r="731">
      <c r="B731" s="10"/>
      <c r="C731" s="10"/>
      <c r="D731" s="10"/>
      <c r="E731" s="10"/>
      <c r="F731" s="10"/>
    </row>
    <row r="732">
      <c r="B732" s="10"/>
      <c r="C732" s="10"/>
      <c r="D732" s="10"/>
      <c r="E732" s="10"/>
      <c r="F732" s="10"/>
    </row>
    <row r="733">
      <c r="B733" s="10"/>
      <c r="C733" s="10"/>
      <c r="D733" s="10"/>
      <c r="E733" s="10"/>
      <c r="F733" s="10"/>
    </row>
    <row r="734">
      <c r="B734" s="10"/>
      <c r="C734" s="10"/>
      <c r="D734" s="10"/>
      <c r="E734" s="10"/>
      <c r="F734" s="10"/>
    </row>
    <row r="735">
      <c r="B735" s="10"/>
      <c r="C735" s="10"/>
      <c r="D735" s="10"/>
      <c r="E735" s="10"/>
      <c r="F735" s="10"/>
    </row>
    <row r="736">
      <c r="B736" s="10"/>
      <c r="C736" s="10"/>
      <c r="D736" s="10"/>
      <c r="E736" s="10"/>
      <c r="F736" s="10"/>
    </row>
    <row r="737">
      <c r="B737" s="10"/>
      <c r="C737" s="10"/>
      <c r="D737" s="10"/>
      <c r="E737" s="10"/>
      <c r="F737" s="10"/>
    </row>
    <row r="738">
      <c r="B738" s="10"/>
      <c r="C738" s="10"/>
      <c r="D738" s="10"/>
      <c r="E738" s="10"/>
      <c r="F738" s="10"/>
    </row>
    <row r="739">
      <c r="B739" s="10"/>
      <c r="C739" s="10"/>
      <c r="D739" s="10"/>
      <c r="E739" s="10"/>
      <c r="F739" s="10"/>
    </row>
    <row r="740">
      <c r="B740" s="10"/>
      <c r="C740" s="10"/>
      <c r="D740" s="10"/>
      <c r="E740" s="10"/>
      <c r="F740" s="10"/>
    </row>
    <row r="741">
      <c r="B741" s="10"/>
      <c r="C741" s="10"/>
      <c r="D741" s="10"/>
      <c r="E741" s="10"/>
      <c r="F741" s="10"/>
    </row>
    <row r="742">
      <c r="B742" s="10"/>
      <c r="C742" s="10"/>
      <c r="D742" s="10"/>
      <c r="E742" s="10"/>
      <c r="F742" s="10"/>
    </row>
    <row r="743">
      <c r="B743" s="10"/>
      <c r="C743" s="10"/>
      <c r="D743" s="10"/>
      <c r="E743" s="10"/>
      <c r="F743" s="10"/>
    </row>
    <row r="744">
      <c r="B744" s="10"/>
      <c r="C744" s="10"/>
      <c r="D744" s="10"/>
      <c r="E744" s="10"/>
      <c r="F744" s="10"/>
    </row>
    <row r="745">
      <c r="B745" s="10"/>
      <c r="C745" s="10"/>
      <c r="D745" s="10"/>
      <c r="E745" s="10"/>
      <c r="F745" s="10"/>
    </row>
    <row r="746">
      <c r="B746" s="10"/>
      <c r="C746" s="10"/>
      <c r="D746" s="10"/>
      <c r="E746" s="10"/>
      <c r="F746" s="10"/>
    </row>
    <row r="747">
      <c r="B747" s="10"/>
      <c r="C747" s="10"/>
      <c r="D747" s="10"/>
      <c r="E747" s="10"/>
      <c r="F747" s="10"/>
    </row>
    <row r="748">
      <c r="B748" s="10"/>
      <c r="C748" s="10"/>
      <c r="D748" s="10"/>
      <c r="E748" s="10"/>
      <c r="F748" s="10"/>
    </row>
    <row r="749">
      <c r="B749" s="10"/>
      <c r="C749" s="10"/>
      <c r="D749" s="10"/>
      <c r="E749" s="10"/>
      <c r="F749" s="10"/>
    </row>
    <row r="750">
      <c r="B750" s="10"/>
      <c r="C750" s="10"/>
      <c r="D750" s="10"/>
      <c r="E750" s="10"/>
      <c r="F750" s="10"/>
    </row>
    <row r="751">
      <c r="B751" s="10"/>
      <c r="C751" s="10"/>
      <c r="D751" s="10"/>
      <c r="E751" s="10"/>
      <c r="F751" s="10"/>
    </row>
    <row r="752">
      <c r="B752" s="10"/>
      <c r="C752" s="10"/>
      <c r="D752" s="10"/>
      <c r="E752" s="10"/>
      <c r="F752" s="10"/>
    </row>
    <row r="753">
      <c r="B753" s="10"/>
      <c r="C753" s="10"/>
      <c r="D753" s="10"/>
      <c r="E753" s="10"/>
      <c r="F753" s="10"/>
    </row>
    <row r="754">
      <c r="B754" s="10"/>
      <c r="C754" s="10"/>
      <c r="D754" s="10"/>
      <c r="E754" s="10"/>
      <c r="F754" s="10"/>
    </row>
    <row r="755">
      <c r="B755" s="10"/>
      <c r="C755" s="10"/>
      <c r="D755" s="10"/>
      <c r="E755" s="10"/>
      <c r="F755" s="10"/>
    </row>
    <row r="756">
      <c r="B756" s="10"/>
      <c r="C756" s="10"/>
      <c r="D756" s="10"/>
      <c r="E756" s="10"/>
      <c r="F756" s="10"/>
    </row>
    <row r="757">
      <c r="B757" s="10"/>
      <c r="C757" s="10"/>
      <c r="D757" s="10"/>
      <c r="E757" s="10"/>
      <c r="F757" s="10"/>
    </row>
    <row r="758">
      <c r="B758" s="10"/>
      <c r="C758" s="10"/>
      <c r="D758" s="10"/>
      <c r="E758" s="10"/>
      <c r="F758" s="10"/>
    </row>
    <row r="759">
      <c r="B759" s="10"/>
      <c r="C759" s="10"/>
      <c r="D759" s="10"/>
      <c r="E759" s="10"/>
      <c r="F759" s="10"/>
    </row>
    <row r="760">
      <c r="B760" s="10"/>
      <c r="C760" s="10"/>
      <c r="D760" s="10"/>
      <c r="E760" s="10"/>
      <c r="F760" s="10"/>
    </row>
    <row r="761">
      <c r="B761" s="10"/>
      <c r="C761" s="10"/>
      <c r="D761" s="10"/>
      <c r="E761" s="10"/>
      <c r="F761" s="10"/>
    </row>
    <row r="762">
      <c r="B762" s="10"/>
      <c r="C762" s="10"/>
      <c r="D762" s="10"/>
      <c r="E762" s="10"/>
      <c r="F762" s="10"/>
    </row>
    <row r="763">
      <c r="B763" s="10"/>
      <c r="C763" s="10"/>
      <c r="D763" s="10"/>
      <c r="E763" s="10"/>
      <c r="F763" s="10"/>
    </row>
    <row r="764">
      <c r="B764" s="10"/>
      <c r="C764" s="10"/>
      <c r="D764" s="10"/>
      <c r="E764" s="10"/>
      <c r="F764" s="10"/>
    </row>
    <row r="765">
      <c r="B765" s="10"/>
      <c r="C765" s="10"/>
      <c r="D765" s="10"/>
      <c r="E765" s="10"/>
      <c r="F765" s="10"/>
    </row>
    <row r="766">
      <c r="B766" s="10"/>
      <c r="C766" s="10"/>
      <c r="D766" s="10"/>
      <c r="E766" s="10"/>
      <c r="F766" s="10"/>
    </row>
    <row r="767">
      <c r="B767" s="10"/>
      <c r="C767" s="10"/>
      <c r="D767" s="10"/>
      <c r="E767" s="10"/>
      <c r="F767" s="10"/>
    </row>
    <row r="768">
      <c r="B768" s="10"/>
      <c r="C768" s="10"/>
      <c r="D768" s="10"/>
      <c r="E768" s="10"/>
      <c r="F768" s="10"/>
    </row>
    <row r="769">
      <c r="B769" s="10"/>
      <c r="C769" s="10"/>
      <c r="D769" s="10"/>
      <c r="E769" s="10"/>
      <c r="F769" s="10"/>
    </row>
    <row r="770">
      <c r="B770" s="10"/>
      <c r="C770" s="10"/>
      <c r="D770" s="10"/>
      <c r="E770" s="10"/>
      <c r="F770" s="10"/>
    </row>
    <row r="771">
      <c r="B771" s="10"/>
      <c r="C771" s="10"/>
      <c r="D771" s="10"/>
      <c r="E771" s="10"/>
      <c r="F771" s="10"/>
    </row>
    <row r="772">
      <c r="B772" s="10"/>
      <c r="C772" s="10"/>
      <c r="D772" s="10"/>
      <c r="E772" s="10"/>
      <c r="F772" s="10"/>
    </row>
    <row r="773">
      <c r="B773" s="10"/>
      <c r="C773" s="10"/>
      <c r="D773" s="10"/>
      <c r="E773" s="10"/>
      <c r="F773" s="10"/>
    </row>
    <row r="774">
      <c r="B774" s="10"/>
      <c r="C774" s="10"/>
      <c r="D774" s="10"/>
      <c r="E774" s="10"/>
      <c r="F774" s="10"/>
    </row>
    <row r="775">
      <c r="B775" s="10"/>
      <c r="C775" s="10"/>
      <c r="D775" s="10"/>
      <c r="E775" s="10"/>
      <c r="F775" s="10"/>
    </row>
    <row r="776">
      <c r="B776" s="10"/>
      <c r="C776" s="10"/>
      <c r="D776" s="10"/>
      <c r="E776" s="10"/>
      <c r="F776" s="10"/>
    </row>
    <row r="777">
      <c r="B777" s="10"/>
      <c r="C777" s="10"/>
      <c r="D777" s="10"/>
      <c r="E777" s="10"/>
      <c r="F777" s="10"/>
    </row>
    <row r="778">
      <c r="B778" s="10"/>
      <c r="C778" s="10"/>
      <c r="D778" s="10"/>
      <c r="E778" s="10"/>
      <c r="F778" s="10"/>
    </row>
    <row r="779">
      <c r="B779" s="10"/>
      <c r="C779" s="10"/>
      <c r="D779" s="10"/>
      <c r="E779" s="10"/>
      <c r="F779" s="10"/>
    </row>
    <row r="780">
      <c r="B780" s="10"/>
      <c r="C780" s="10"/>
      <c r="D780" s="10"/>
      <c r="E780" s="10"/>
      <c r="F780" s="10"/>
    </row>
    <row r="781">
      <c r="B781" s="10"/>
      <c r="C781" s="10"/>
      <c r="D781" s="10"/>
      <c r="E781" s="10"/>
      <c r="F781" s="10"/>
    </row>
    <row r="782">
      <c r="B782" s="10"/>
      <c r="C782" s="10"/>
      <c r="D782" s="10"/>
      <c r="E782" s="10"/>
      <c r="F782" s="10"/>
    </row>
    <row r="783">
      <c r="B783" s="10"/>
      <c r="C783" s="10"/>
      <c r="D783" s="10"/>
      <c r="E783" s="10"/>
      <c r="F783" s="10"/>
    </row>
    <row r="784">
      <c r="B784" s="10"/>
      <c r="C784" s="10"/>
      <c r="D784" s="10"/>
      <c r="E784" s="10"/>
      <c r="F784" s="10"/>
    </row>
    <row r="785">
      <c r="B785" s="10"/>
      <c r="C785" s="10"/>
      <c r="D785" s="10"/>
      <c r="E785" s="10"/>
      <c r="F785" s="10"/>
    </row>
    <row r="786">
      <c r="B786" s="10"/>
      <c r="C786" s="10"/>
      <c r="D786" s="10"/>
      <c r="E786" s="10"/>
      <c r="F786" s="10"/>
    </row>
    <row r="787">
      <c r="B787" s="10"/>
      <c r="C787" s="10"/>
      <c r="D787" s="10"/>
      <c r="E787" s="10"/>
      <c r="F787" s="10"/>
    </row>
    <row r="788">
      <c r="B788" s="10"/>
      <c r="C788" s="10"/>
      <c r="D788" s="10"/>
      <c r="E788" s="10"/>
      <c r="F788" s="10"/>
    </row>
    <row r="789">
      <c r="B789" s="10"/>
      <c r="C789" s="10"/>
      <c r="D789" s="10"/>
      <c r="E789" s="10"/>
      <c r="F789" s="10"/>
    </row>
    <row r="790">
      <c r="B790" s="10"/>
      <c r="C790" s="10"/>
      <c r="D790" s="10"/>
      <c r="E790" s="10"/>
      <c r="F790" s="10"/>
    </row>
    <row r="791">
      <c r="B791" s="10"/>
      <c r="C791" s="10"/>
      <c r="D791" s="10"/>
      <c r="E791" s="10"/>
      <c r="F791" s="10"/>
    </row>
    <row r="792">
      <c r="B792" s="10"/>
      <c r="C792" s="10"/>
      <c r="D792" s="10"/>
      <c r="E792" s="10"/>
      <c r="F792" s="10"/>
    </row>
    <row r="793">
      <c r="B793" s="10"/>
      <c r="C793" s="10"/>
      <c r="D793" s="10"/>
      <c r="E793" s="10"/>
      <c r="F793" s="10"/>
    </row>
    <row r="794">
      <c r="B794" s="10"/>
      <c r="C794" s="10"/>
      <c r="D794" s="10"/>
      <c r="E794" s="10"/>
      <c r="F794" s="10"/>
    </row>
    <row r="795">
      <c r="B795" s="10"/>
      <c r="C795" s="10"/>
      <c r="D795" s="10"/>
      <c r="E795" s="10"/>
      <c r="F795" s="10"/>
    </row>
    <row r="796">
      <c r="B796" s="10"/>
      <c r="C796" s="10"/>
      <c r="D796" s="10"/>
      <c r="E796" s="10"/>
      <c r="F796" s="10"/>
    </row>
    <row r="797">
      <c r="B797" s="10"/>
      <c r="C797" s="10"/>
      <c r="D797" s="10"/>
      <c r="E797" s="10"/>
      <c r="F797" s="10"/>
    </row>
    <row r="798">
      <c r="B798" s="10"/>
      <c r="C798" s="10"/>
      <c r="D798" s="10"/>
      <c r="E798" s="10"/>
      <c r="F798" s="10"/>
    </row>
    <row r="799">
      <c r="B799" s="10"/>
      <c r="C799" s="10"/>
      <c r="D799" s="10"/>
      <c r="E799" s="10"/>
      <c r="F799" s="10"/>
    </row>
    <row r="800">
      <c r="B800" s="10"/>
      <c r="C800" s="10"/>
      <c r="D800" s="10"/>
      <c r="E800" s="10"/>
      <c r="F800" s="10"/>
    </row>
    <row r="801">
      <c r="B801" s="10"/>
      <c r="C801" s="10"/>
      <c r="D801" s="10"/>
      <c r="E801" s="10"/>
      <c r="F801" s="10"/>
    </row>
    <row r="802">
      <c r="B802" s="10"/>
      <c r="C802" s="10"/>
      <c r="D802" s="10"/>
      <c r="E802" s="10"/>
      <c r="F802" s="10"/>
    </row>
    <row r="803">
      <c r="B803" s="10"/>
      <c r="C803" s="10"/>
      <c r="D803" s="10"/>
      <c r="E803" s="10"/>
      <c r="F803" s="10"/>
    </row>
    <row r="804">
      <c r="B804" s="10"/>
      <c r="C804" s="10"/>
      <c r="D804" s="10"/>
      <c r="E804" s="10"/>
      <c r="F804" s="10"/>
    </row>
    <row r="805">
      <c r="B805" s="10"/>
      <c r="C805" s="10"/>
      <c r="D805" s="10"/>
      <c r="E805" s="10"/>
      <c r="F805" s="10"/>
    </row>
    <row r="806">
      <c r="B806" s="10"/>
      <c r="C806" s="10"/>
      <c r="D806" s="10"/>
      <c r="E806" s="10"/>
      <c r="F806" s="10"/>
    </row>
    <row r="807">
      <c r="B807" s="10"/>
      <c r="C807" s="10"/>
      <c r="D807" s="10"/>
      <c r="E807" s="10"/>
      <c r="F807" s="10"/>
    </row>
    <row r="808">
      <c r="B808" s="10"/>
      <c r="C808" s="10"/>
      <c r="D808" s="10"/>
      <c r="E808" s="10"/>
      <c r="F808" s="10"/>
    </row>
    <row r="809">
      <c r="B809" s="10"/>
      <c r="C809" s="10"/>
      <c r="D809" s="10"/>
      <c r="E809" s="10"/>
      <c r="F809" s="10"/>
    </row>
    <row r="810">
      <c r="B810" s="10"/>
      <c r="C810" s="10"/>
      <c r="D810" s="10"/>
      <c r="E810" s="10"/>
      <c r="F810" s="10"/>
    </row>
    <row r="811">
      <c r="B811" s="10"/>
      <c r="C811" s="10"/>
      <c r="D811" s="10"/>
      <c r="E811" s="10"/>
      <c r="F811" s="10"/>
    </row>
    <row r="812">
      <c r="B812" s="10"/>
      <c r="C812" s="10"/>
      <c r="D812" s="10"/>
      <c r="E812" s="10"/>
      <c r="F812" s="10"/>
    </row>
    <row r="813">
      <c r="B813" s="10"/>
      <c r="C813" s="10"/>
      <c r="D813" s="10"/>
      <c r="E813" s="10"/>
      <c r="F813" s="10"/>
    </row>
    <row r="814">
      <c r="B814" s="10"/>
      <c r="C814" s="10"/>
      <c r="D814" s="10"/>
      <c r="E814" s="10"/>
      <c r="F814" s="10"/>
    </row>
    <row r="815">
      <c r="B815" s="10"/>
      <c r="C815" s="10"/>
      <c r="D815" s="10"/>
      <c r="E815" s="10"/>
      <c r="F815" s="10"/>
    </row>
    <row r="816">
      <c r="B816" s="10"/>
      <c r="C816" s="10"/>
      <c r="D816" s="10"/>
      <c r="E816" s="10"/>
      <c r="F816" s="10"/>
    </row>
    <row r="817">
      <c r="B817" s="10"/>
      <c r="C817" s="10"/>
      <c r="D817" s="10"/>
      <c r="E817" s="10"/>
      <c r="F817" s="10"/>
    </row>
    <row r="818">
      <c r="B818" s="10"/>
      <c r="C818" s="10"/>
      <c r="D818" s="10"/>
      <c r="E818" s="10"/>
      <c r="F818" s="10"/>
    </row>
    <row r="819">
      <c r="B819" s="10"/>
      <c r="C819" s="10"/>
      <c r="D819" s="10"/>
      <c r="E819" s="10"/>
      <c r="F819" s="10"/>
    </row>
    <row r="820">
      <c r="B820" s="10"/>
      <c r="C820" s="10"/>
      <c r="D820" s="10"/>
      <c r="E820" s="10"/>
      <c r="F820" s="10"/>
    </row>
    <row r="821">
      <c r="B821" s="10"/>
      <c r="C821" s="10"/>
      <c r="D821" s="10"/>
      <c r="E821" s="10"/>
      <c r="F821" s="10"/>
    </row>
    <row r="822">
      <c r="B822" s="10"/>
      <c r="C822" s="10"/>
      <c r="D822" s="10"/>
      <c r="E822" s="10"/>
      <c r="F822" s="10"/>
    </row>
    <row r="823">
      <c r="B823" s="10"/>
      <c r="C823" s="10"/>
      <c r="D823" s="10"/>
      <c r="E823" s="10"/>
      <c r="F823" s="10"/>
    </row>
    <row r="824">
      <c r="B824" s="10"/>
      <c r="C824" s="10"/>
      <c r="D824" s="10"/>
      <c r="E824" s="10"/>
      <c r="F824" s="10"/>
    </row>
    <row r="825">
      <c r="B825" s="10"/>
      <c r="C825" s="10"/>
      <c r="D825" s="10"/>
      <c r="E825" s="10"/>
      <c r="F825" s="10"/>
    </row>
    <row r="826">
      <c r="B826" s="10"/>
      <c r="C826" s="10"/>
      <c r="D826" s="10"/>
      <c r="E826" s="10"/>
      <c r="F826" s="10"/>
    </row>
    <row r="827">
      <c r="B827" s="10"/>
      <c r="C827" s="10"/>
      <c r="D827" s="10"/>
      <c r="E827" s="10"/>
      <c r="F827" s="10"/>
    </row>
    <row r="828">
      <c r="B828" s="10"/>
      <c r="C828" s="10"/>
      <c r="D828" s="10"/>
      <c r="E828" s="10"/>
      <c r="F828" s="10"/>
    </row>
    <row r="829">
      <c r="B829" s="10"/>
      <c r="C829" s="10"/>
      <c r="D829" s="10"/>
      <c r="E829" s="10"/>
      <c r="F829" s="10"/>
    </row>
    <row r="830">
      <c r="B830" s="10"/>
      <c r="C830" s="10"/>
      <c r="D830" s="10"/>
      <c r="E830" s="10"/>
      <c r="F830" s="10"/>
    </row>
    <row r="831">
      <c r="B831" s="10"/>
      <c r="C831" s="10"/>
      <c r="D831" s="10"/>
      <c r="E831" s="10"/>
      <c r="F831" s="10"/>
    </row>
    <row r="832">
      <c r="B832" s="10"/>
      <c r="C832" s="10"/>
      <c r="D832" s="10"/>
      <c r="E832" s="10"/>
      <c r="F832" s="10"/>
    </row>
    <row r="833">
      <c r="B833" s="10"/>
      <c r="C833" s="10"/>
      <c r="D833" s="10"/>
      <c r="E833" s="10"/>
      <c r="F833" s="10"/>
    </row>
    <row r="834">
      <c r="B834" s="10"/>
      <c r="C834" s="10"/>
      <c r="D834" s="10"/>
      <c r="E834" s="10"/>
      <c r="F834" s="10"/>
    </row>
    <row r="835">
      <c r="B835" s="10"/>
      <c r="C835" s="10"/>
      <c r="D835" s="10"/>
      <c r="E835" s="10"/>
      <c r="F835" s="10"/>
    </row>
    <row r="836">
      <c r="B836" s="10"/>
      <c r="C836" s="10"/>
      <c r="D836" s="10"/>
      <c r="E836" s="10"/>
      <c r="F836" s="10"/>
    </row>
    <row r="837">
      <c r="B837" s="10"/>
      <c r="C837" s="10"/>
      <c r="D837" s="10"/>
      <c r="E837" s="10"/>
      <c r="F837" s="10"/>
    </row>
    <row r="838">
      <c r="B838" s="10"/>
      <c r="C838" s="10"/>
      <c r="D838" s="10"/>
      <c r="E838" s="10"/>
      <c r="F838" s="10"/>
    </row>
    <row r="839">
      <c r="B839" s="10"/>
      <c r="C839" s="10"/>
      <c r="D839" s="10"/>
      <c r="E839" s="10"/>
      <c r="F839" s="10"/>
    </row>
    <row r="840">
      <c r="B840" s="10"/>
      <c r="C840" s="10"/>
      <c r="D840" s="10"/>
      <c r="E840" s="10"/>
      <c r="F840" s="10"/>
    </row>
    <row r="841">
      <c r="B841" s="10"/>
      <c r="C841" s="10"/>
      <c r="D841" s="10"/>
      <c r="E841" s="10"/>
      <c r="F841" s="10"/>
    </row>
    <row r="842">
      <c r="B842" s="10"/>
      <c r="C842" s="10"/>
      <c r="D842" s="10"/>
      <c r="E842" s="10"/>
      <c r="F842" s="10"/>
    </row>
    <row r="843">
      <c r="B843" s="10"/>
      <c r="C843" s="10"/>
      <c r="D843" s="10"/>
      <c r="E843" s="10"/>
      <c r="F843" s="10"/>
    </row>
    <row r="844">
      <c r="B844" s="10"/>
      <c r="C844" s="10"/>
      <c r="D844" s="10"/>
      <c r="E844" s="10"/>
      <c r="F844" s="10"/>
    </row>
    <row r="845">
      <c r="B845" s="10"/>
      <c r="C845" s="10"/>
      <c r="D845" s="10"/>
      <c r="E845" s="10"/>
      <c r="F845" s="10"/>
    </row>
    <row r="846">
      <c r="B846" s="10"/>
      <c r="C846" s="10"/>
      <c r="D846" s="10"/>
      <c r="E846" s="10"/>
      <c r="F846" s="10"/>
    </row>
    <row r="847">
      <c r="B847" s="10"/>
      <c r="C847" s="10"/>
      <c r="D847" s="10"/>
      <c r="E847" s="10"/>
      <c r="F847" s="10"/>
    </row>
    <row r="848">
      <c r="B848" s="10"/>
      <c r="C848" s="10"/>
      <c r="D848" s="10"/>
      <c r="E848" s="10"/>
      <c r="F848" s="10"/>
    </row>
    <row r="849">
      <c r="B849" s="10"/>
      <c r="C849" s="10"/>
      <c r="D849" s="10"/>
      <c r="E849" s="10"/>
      <c r="F849" s="10"/>
    </row>
    <row r="850">
      <c r="B850" s="10"/>
      <c r="C850" s="10"/>
      <c r="D850" s="10"/>
      <c r="E850" s="10"/>
      <c r="F850" s="10"/>
    </row>
    <row r="851">
      <c r="B851" s="10"/>
      <c r="C851" s="10"/>
      <c r="D851" s="10"/>
      <c r="E851" s="10"/>
      <c r="F851" s="10"/>
    </row>
    <row r="852">
      <c r="B852" s="10"/>
      <c r="C852" s="10"/>
      <c r="D852" s="10"/>
      <c r="E852" s="10"/>
      <c r="F852" s="10"/>
    </row>
    <row r="853">
      <c r="B853" s="10"/>
      <c r="C853" s="10"/>
      <c r="D853" s="10"/>
      <c r="E853" s="10"/>
      <c r="F853" s="10"/>
    </row>
    <row r="854">
      <c r="B854" s="10"/>
      <c r="C854" s="10"/>
      <c r="D854" s="10"/>
      <c r="E854" s="10"/>
      <c r="F854" s="10"/>
    </row>
    <row r="855">
      <c r="B855" s="10"/>
      <c r="C855" s="10"/>
      <c r="D855" s="10"/>
      <c r="E855" s="10"/>
      <c r="F855" s="10"/>
    </row>
    <row r="856">
      <c r="B856" s="10"/>
      <c r="C856" s="10"/>
      <c r="D856" s="10"/>
      <c r="E856" s="10"/>
      <c r="F856" s="10"/>
    </row>
    <row r="857">
      <c r="B857" s="10"/>
      <c r="C857" s="10"/>
      <c r="D857" s="10"/>
      <c r="E857" s="10"/>
      <c r="F857" s="10"/>
    </row>
    <row r="858">
      <c r="B858" s="10"/>
      <c r="C858" s="10"/>
      <c r="D858" s="10"/>
      <c r="E858" s="10"/>
      <c r="F858" s="10"/>
    </row>
    <row r="859">
      <c r="B859" s="10"/>
      <c r="C859" s="10"/>
      <c r="D859" s="10"/>
      <c r="E859" s="10"/>
      <c r="F859" s="10"/>
    </row>
    <row r="860">
      <c r="B860" s="10"/>
      <c r="C860" s="10"/>
      <c r="D860" s="10"/>
      <c r="E860" s="10"/>
      <c r="F860" s="10"/>
    </row>
    <row r="861">
      <c r="B861" s="10"/>
      <c r="C861" s="10"/>
      <c r="D861" s="10"/>
      <c r="E861" s="10"/>
      <c r="F861" s="10"/>
    </row>
    <row r="862">
      <c r="B862" s="10"/>
      <c r="C862" s="10"/>
      <c r="D862" s="10"/>
      <c r="E862" s="10"/>
      <c r="F862" s="10"/>
    </row>
    <row r="863">
      <c r="B863" s="10"/>
      <c r="C863" s="10"/>
      <c r="D863" s="10"/>
      <c r="E863" s="10"/>
      <c r="F863" s="10"/>
    </row>
    <row r="864">
      <c r="B864" s="10"/>
      <c r="C864" s="10"/>
      <c r="D864" s="10"/>
      <c r="E864" s="10"/>
      <c r="F864" s="10"/>
    </row>
    <row r="865">
      <c r="B865" s="10"/>
      <c r="C865" s="10"/>
      <c r="D865" s="10"/>
      <c r="E865" s="10"/>
      <c r="F865" s="10"/>
    </row>
    <row r="866">
      <c r="B866" s="10"/>
      <c r="C866" s="10"/>
      <c r="D866" s="10"/>
      <c r="E866" s="10"/>
      <c r="F866" s="10"/>
    </row>
    <row r="867">
      <c r="B867" s="10"/>
      <c r="C867" s="10"/>
      <c r="D867" s="10"/>
      <c r="E867" s="10"/>
      <c r="F867" s="10"/>
    </row>
    <row r="868">
      <c r="B868" s="10"/>
      <c r="C868" s="10"/>
      <c r="D868" s="10"/>
      <c r="E868" s="10"/>
      <c r="F868" s="10"/>
    </row>
    <row r="869">
      <c r="B869" s="10"/>
      <c r="C869" s="10"/>
      <c r="D869" s="10"/>
      <c r="E869" s="10"/>
      <c r="F869" s="10"/>
    </row>
    <row r="870">
      <c r="B870" s="10"/>
      <c r="C870" s="10"/>
      <c r="D870" s="10"/>
      <c r="E870" s="10"/>
      <c r="F870" s="10"/>
    </row>
    <row r="871">
      <c r="B871" s="10"/>
      <c r="C871" s="10"/>
      <c r="D871" s="10"/>
      <c r="E871" s="10"/>
      <c r="F871" s="10"/>
    </row>
    <row r="872">
      <c r="B872" s="10"/>
      <c r="C872" s="10"/>
      <c r="D872" s="10"/>
      <c r="E872" s="10"/>
      <c r="F872" s="10"/>
    </row>
    <row r="873">
      <c r="B873" s="10"/>
      <c r="C873" s="10"/>
      <c r="D873" s="10"/>
      <c r="E873" s="10"/>
      <c r="F873" s="10"/>
    </row>
    <row r="874">
      <c r="B874" s="10"/>
      <c r="C874" s="10"/>
      <c r="D874" s="10"/>
      <c r="E874" s="10"/>
      <c r="F874" s="10"/>
    </row>
    <row r="875">
      <c r="B875" s="10"/>
      <c r="C875" s="10"/>
      <c r="D875" s="10"/>
      <c r="E875" s="10"/>
      <c r="F875" s="10"/>
    </row>
    <row r="876">
      <c r="B876" s="10"/>
      <c r="C876" s="10"/>
      <c r="D876" s="10"/>
      <c r="E876" s="10"/>
      <c r="F876" s="10"/>
    </row>
    <row r="877">
      <c r="B877" s="10"/>
      <c r="C877" s="10"/>
      <c r="D877" s="10"/>
      <c r="E877" s="10"/>
      <c r="F877" s="10"/>
    </row>
    <row r="878">
      <c r="B878" s="10"/>
      <c r="C878" s="10"/>
      <c r="D878" s="10"/>
      <c r="E878" s="10"/>
      <c r="F878" s="10"/>
    </row>
    <row r="879">
      <c r="B879" s="10"/>
      <c r="C879" s="10"/>
      <c r="D879" s="10"/>
      <c r="E879" s="10"/>
      <c r="F879" s="10"/>
    </row>
    <row r="880">
      <c r="B880" s="10"/>
      <c r="C880" s="10"/>
      <c r="D880" s="10"/>
      <c r="E880" s="10"/>
      <c r="F880" s="10"/>
    </row>
    <row r="881">
      <c r="B881" s="10"/>
      <c r="C881" s="10"/>
      <c r="D881" s="10"/>
      <c r="E881" s="10"/>
      <c r="F881" s="10"/>
    </row>
    <row r="882">
      <c r="B882" s="10"/>
      <c r="C882" s="10"/>
      <c r="D882" s="10"/>
      <c r="E882" s="10"/>
      <c r="F882" s="10"/>
    </row>
    <row r="883">
      <c r="B883" s="10"/>
      <c r="C883" s="10"/>
      <c r="D883" s="10"/>
      <c r="E883" s="10"/>
      <c r="F883" s="10"/>
    </row>
    <row r="884">
      <c r="B884" s="10"/>
      <c r="C884" s="10"/>
      <c r="D884" s="10"/>
      <c r="E884" s="10"/>
      <c r="F884" s="10"/>
    </row>
    <row r="885">
      <c r="B885" s="10"/>
      <c r="C885" s="10"/>
      <c r="D885" s="10"/>
      <c r="E885" s="10"/>
      <c r="F885" s="10"/>
    </row>
    <row r="886">
      <c r="B886" s="10"/>
      <c r="C886" s="10"/>
      <c r="D886" s="10"/>
      <c r="E886" s="10"/>
      <c r="F886" s="10"/>
    </row>
    <row r="887">
      <c r="B887" s="10"/>
      <c r="C887" s="10"/>
      <c r="D887" s="10"/>
      <c r="E887" s="10"/>
      <c r="F887" s="10"/>
    </row>
    <row r="888">
      <c r="B888" s="10"/>
      <c r="C888" s="10"/>
      <c r="D888" s="10"/>
      <c r="E888" s="10"/>
      <c r="F888" s="10"/>
    </row>
    <row r="889">
      <c r="B889" s="10"/>
      <c r="C889" s="10"/>
      <c r="D889" s="10"/>
      <c r="E889" s="10"/>
      <c r="F889" s="10"/>
    </row>
    <row r="890">
      <c r="B890" s="10"/>
      <c r="C890" s="10"/>
      <c r="D890" s="10"/>
      <c r="E890" s="10"/>
      <c r="F890" s="10"/>
    </row>
    <row r="891">
      <c r="B891" s="10"/>
      <c r="C891" s="10"/>
      <c r="D891" s="10"/>
      <c r="E891" s="10"/>
      <c r="F891" s="10"/>
    </row>
    <row r="892">
      <c r="B892" s="10"/>
      <c r="C892" s="10"/>
      <c r="D892" s="10"/>
      <c r="E892" s="10"/>
      <c r="F892" s="10"/>
    </row>
    <row r="893">
      <c r="B893" s="10"/>
      <c r="C893" s="10"/>
      <c r="D893" s="10"/>
      <c r="E893" s="10"/>
      <c r="F893" s="10"/>
    </row>
    <row r="894">
      <c r="B894" s="10"/>
      <c r="C894" s="10"/>
      <c r="D894" s="10"/>
      <c r="E894" s="10"/>
      <c r="F894" s="10"/>
    </row>
    <row r="895">
      <c r="B895" s="10"/>
      <c r="C895" s="10"/>
      <c r="D895" s="10"/>
      <c r="E895" s="10"/>
      <c r="F895" s="10"/>
    </row>
    <row r="896">
      <c r="B896" s="10"/>
      <c r="C896" s="10"/>
      <c r="D896" s="10"/>
      <c r="E896" s="10"/>
      <c r="F896" s="10"/>
    </row>
    <row r="897">
      <c r="B897" s="10"/>
      <c r="C897" s="10"/>
      <c r="D897" s="10"/>
      <c r="E897" s="10"/>
      <c r="F897" s="10"/>
    </row>
    <row r="898">
      <c r="B898" s="10"/>
      <c r="C898" s="10"/>
      <c r="D898" s="10"/>
      <c r="E898" s="10"/>
      <c r="F898" s="10"/>
    </row>
    <row r="899">
      <c r="B899" s="10"/>
      <c r="C899" s="10"/>
      <c r="D899" s="10"/>
      <c r="E899" s="10"/>
      <c r="F899" s="10"/>
    </row>
    <row r="900">
      <c r="B900" s="10"/>
      <c r="C900" s="10"/>
      <c r="D900" s="10"/>
      <c r="E900" s="10"/>
      <c r="F900" s="10"/>
    </row>
    <row r="901">
      <c r="B901" s="10"/>
      <c r="C901" s="10"/>
      <c r="D901" s="10"/>
      <c r="E901" s="10"/>
      <c r="F901" s="10"/>
    </row>
    <row r="902">
      <c r="B902" s="10"/>
      <c r="C902" s="10"/>
      <c r="D902" s="10"/>
      <c r="E902" s="10"/>
      <c r="F902" s="10"/>
    </row>
    <row r="903">
      <c r="B903" s="10"/>
      <c r="C903" s="10"/>
      <c r="D903" s="10"/>
      <c r="E903" s="10"/>
      <c r="F903" s="10"/>
    </row>
    <row r="904">
      <c r="B904" s="10"/>
      <c r="C904" s="10"/>
      <c r="D904" s="10"/>
      <c r="E904" s="10"/>
      <c r="F904" s="10"/>
    </row>
    <row r="905">
      <c r="B905" s="10"/>
      <c r="C905" s="10"/>
      <c r="D905" s="10"/>
      <c r="E905" s="10"/>
      <c r="F905" s="10"/>
    </row>
    <row r="906">
      <c r="B906" s="10"/>
      <c r="C906" s="10"/>
      <c r="D906" s="10"/>
      <c r="E906" s="10"/>
      <c r="F906" s="10"/>
    </row>
    <row r="907">
      <c r="B907" s="10"/>
      <c r="C907" s="10"/>
      <c r="D907" s="10"/>
      <c r="E907" s="10"/>
      <c r="F907" s="10"/>
    </row>
    <row r="908">
      <c r="B908" s="10"/>
      <c r="C908" s="10"/>
      <c r="D908" s="10"/>
      <c r="E908" s="10"/>
      <c r="F908" s="10"/>
    </row>
    <row r="909">
      <c r="B909" s="10"/>
      <c r="C909" s="10"/>
      <c r="D909" s="10"/>
      <c r="E909" s="10"/>
      <c r="F909" s="10"/>
    </row>
    <row r="910">
      <c r="B910" s="10"/>
      <c r="C910" s="10"/>
      <c r="D910" s="10"/>
      <c r="E910" s="10"/>
      <c r="F910" s="10"/>
    </row>
    <row r="911">
      <c r="B911" s="10"/>
      <c r="C911" s="10"/>
      <c r="D911" s="10"/>
      <c r="E911" s="10"/>
      <c r="F911" s="10"/>
    </row>
    <row r="912">
      <c r="B912" s="10"/>
      <c r="C912" s="10"/>
      <c r="D912" s="10"/>
      <c r="E912" s="10"/>
      <c r="F912" s="10"/>
    </row>
    <row r="913">
      <c r="B913" s="10"/>
      <c r="C913" s="10"/>
      <c r="D913" s="10"/>
      <c r="E913" s="10"/>
      <c r="F913" s="10"/>
    </row>
    <row r="914">
      <c r="B914" s="10"/>
      <c r="C914" s="10"/>
      <c r="D914" s="10"/>
      <c r="E914" s="10"/>
      <c r="F914" s="10"/>
    </row>
    <row r="915">
      <c r="B915" s="10"/>
      <c r="C915" s="10"/>
      <c r="D915" s="10"/>
      <c r="E915" s="10"/>
      <c r="F915" s="10"/>
    </row>
    <row r="916">
      <c r="B916" s="10"/>
      <c r="C916" s="10"/>
      <c r="D916" s="10"/>
      <c r="E916" s="10"/>
      <c r="F916" s="10"/>
    </row>
    <row r="917">
      <c r="B917" s="10"/>
      <c r="C917" s="10"/>
      <c r="D917" s="10"/>
      <c r="E917" s="10"/>
      <c r="F917" s="10"/>
    </row>
    <row r="918">
      <c r="B918" s="10"/>
      <c r="C918" s="10"/>
      <c r="D918" s="10"/>
      <c r="E918" s="10"/>
      <c r="F918" s="10"/>
    </row>
    <row r="919">
      <c r="B919" s="10"/>
      <c r="C919" s="10"/>
      <c r="D919" s="10"/>
      <c r="E919" s="10"/>
      <c r="F919" s="10"/>
    </row>
    <row r="920">
      <c r="B920" s="10"/>
      <c r="C920" s="10"/>
      <c r="D920" s="10"/>
      <c r="E920" s="10"/>
      <c r="F920" s="10"/>
    </row>
    <row r="921">
      <c r="B921" s="10"/>
      <c r="C921" s="10"/>
      <c r="D921" s="10"/>
      <c r="E921" s="10"/>
      <c r="F921" s="10"/>
    </row>
    <row r="922">
      <c r="B922" s="10"/>
      <c r="C922" s="10"/>
      <c r="D922" s="10"/>
      <c r="E922" s="10"/>
      <c r="F922" s="10"/>
    </row>
    <row r="923">
      <c r="B923" s="10"/>
      <c r="C923" s="10"/>
      <c r="D923" s="10"/>
      <c r="E923" s="10"/>
      <c r="F923" s="10"/>
    </row>
    <row r="924">
      <c r="B924" s="10"/>
      <c r="C924" s="10"/>
      <c r="D924" s="10"/>
      <c r="E924" s="10"/>
      <c r="F924" s="10"/>
    </row>
    <row r="925">
      <c r="B925" s="10"/>
      <c r="C925" s="10"/>
      <c r="D925" s="10"/>
      <c r="E925" s="10"/>
      <c r="F925" s="10"/>
    </row>
    <row r="926">
      <c r="B926" s="10"/>
      <c r="C926" s="10"/>
      <c r="D926" s="10"/>
      <c r="E926" s="10"/>
      <c r="F926" s="10"/>
    </row>
    <row r="927">
      <c r="B927" s="10"/>
      <c r="C927" s="10"/>
      <c r="D927" s="10"/>
      <c r="E927" s="10"/>
      <c r="F927" s="10"/>
    </row>
    <row r="928">
      <c r="B928" s="10"/>
      <c r="C928" s="10"/>
      <c r="D928" s="10"/>
      <c r="E928" s="10"/>
      <c r="F928" s="10"/>
    </row>
    <row r="929">
      <c r="B929" s="10"/>
      <c r="C929" s="10"/>
      <c r="D929" s="10"/>
      <c r="E929" s="10"/>
      <c r="F929" s="10"/>
    </row>
    <row r="930">
      <c r="B930" s="10"/>
      <c r="C930" s="10"/>
      <c r="D930" s="10"/>
      <c r="E930" s="10"/>
      <c r="F930" s="10"/>
    </row>
    <row r="931">
      <c r="B931" s="10"/>
      <c r="C931" s="10"/>
      <c r="D931" s="10"/>
      <c r="E931" s="10"/>
      <c r="F931" s="10"/>
    </row>
    <row r="932">
      <c r="B932" s="10"/>
      <c r="C932" s="10"/>
      <c r="D932" s="10"/>
      <c r="E932" s="10"/>
      <c r="F932" s="10"/>
    </row>
    <row r="933">
      <c r="B933" s="10"/>
      <c r="C933" s="10"/>
      <c r="D933" s="10"/>
      <c r="E933" s="10"/>
      <c r="F933" s="10"/>
    </row>
    <row r="934">
      <c r="B934" s="10"/>
      <c r="C934" s="10"/>
      <c r="D934" s="10"/>
      <c r="E934" s="10"/>
      <c r="F934" s="10"/>
    </row>
    <row r="935">
      <c r="B935" s="10"/>
      <c r="C935" s="10"/>
      <c r="D935" s="10"/>
      <c r="E935" s="10"/>
      <c r="F935" s="10"/>
    </row>
    <row r="936">
      <c r="B936" s="10"/>
      <c r="C936" s="10"/>
      <c r="D936" s="10"/>
      <c r="E936" s="10"/>
      <c r="F936" s="10"/>
    </row>
    <row r="937">
      <c r="B937" s="10"/>
      <c r="C937" s="10"/>
      <c r="D937" s="10"/>
      <c r="E937" s="10"/>
      <c r="F937" s="10"/>
    </row>
    <row r="938">
      <c r="B938" s="10"/>
      <c r="C938" s="10"/>
      <c r="D938" s="10"/>
      <c r="E938" s="10"/>
      <c r="F938" s="10"/>
    </row>
    <row r="939">
      <c r="B939" s="10"/>
      <c r="C939" s="10"/>
      <c r="D939" s="10"/>
      <c r="E939" s="10"/>
      <c r="F939" s="10"/>
    </row>
    <row r="940">
      <c r="B940" s="10"/>
      <c r="C940" s="10"/>
      <c r="D940" s="10"/>
      <c r="E940" s="10"/>
      <c r="F940" s="10"/>
    </row>
    <row r="941">
      <c r="B941" s="10"/>
      <c r="C941" s="10"/>
      <c r="D941" s="10"/>
      <c r="E941" s="10"/>
      <c r="F941" s="10"/>
    </row>
    <row r="942">
      <c r="B942" s="10"/>
      <c r="C942" s="10"/>
      <c r="D942" s="10"/>
      <c r="E942" s="10"/>
      <c r="F942" s="10"/>
    </row>
    <row r="943">
      <c r="B943" s="10"/>
      <c r="C943" s="10"/>
      <c r="D943" s="10"/>
      <c r="E943" s="10"/>
      <c r="F943" s="10"/>
    </row>
    <row r="944">
      <c r="B944" s="10"/>
      <c r="C944" s="10"/>
      <c r="D944" s="10"/>
      <c r="E944" s="10"/>
      <c r="F944" s="10"/>
    </row>
    <row r="945">
      <c r="B945" s="10"/>
      <c r="C945" s="10"/>
      <c r="D945" s="10"/>
      <c r="E945" s="10"/>
      <c r="F945" s="10"/>
    </row>
    <row r="946">
      <c r="B946" s="10"/>
      <c r="C946" s="10"/>
      <c r="D946" s="10"/>
      <c r="E946" s="10"/>
      <c r="F946" s="10"/>
    </row>
    <row r="947">
      <c r="B947" s="10"/>
      <c r="C947" s="10"/>
      <c r="D947" s="10"/>
      <c r="E947" s="10"/>
      <c r="F947" s="10"/>
    </row>
    <row r="948">
      <c r="B948" s="10"/>
      <c r="C948" s="10"/>
      <c r="D948" s="10"/>
      <c r="E948" s="10"/>
      <c r="F948" s="10"/>
    </row>
    <row r="949">
      <c r="B949" s="10"/>
      <c r="C949" s="10"/>
      <c r="D949" s="10"/>
      <c r="E949" s="10"/>
      <c r="F949" s="10"/>
    </row>
    <row r="950">
      <c r="B950" s="10"/>
      <c r="C950" s="10"/>
      <c r="D950" s="10"/>
      <c r="E950" s="10"/>
      <c r="F950" s="10"/>
    </row>
    <row r="951">
      <c r="B951" s="10"/>
      <c r="C951" s="10"/>
      <c r="D951" s="10"/>
      <c r="E951" s="10"/>
      <c r="F951" s="10"/>
    </row>
    <row r="952">
      <c r="B952" s="10"/>
      <c r="C952" s="10"/>
      <c r="D952" s="10"/>
      <c r="E952" s="10"/>
      <c r="F952" s="10"/>
    </row>
    <row r="953">
      <c r="B953" s="10"/>
      <c r="C953" s="10"/>
      <c r="D953" s="10"/>
      <c r="E953" s="10"/>
      <c r="F953" s="10"/>
    </row>
    <row r="954">
      <c r="B954" s="10"/>
      <c r="C954" s="10"/>
      <c r="D954" s="10"/>
      <c r="E954" s="10"/>
      <c r="F954" s="10"/>
    </row>
    <row r="955">
      <c r="B955" s="10"/>
      <c r="C955" s="10"/>
      <c r="D955" s="10"/>
      <c r="E955" s="10"/>
      <c r="F955" s="10"/>
    </row>
    <row r="956">
      <c r="B956" s="10"/>
      <c r="C956" s="10"/>
      <c r="D956" s="10"/>
      <c r="E956" s="10"/>
      <c r="F956" s="10"/>
    </row>
    <row r="957">
      <c r="B957" s="10"/>
      <c r="C957" s="10"/>
      <c r="D957" s="10"/>
      <c r="E957" s="10"/>
      <c r="F957" s="10"/>
    </row>
    <row r="958">
      <c r="B958" s="10"/>
      <c r="C958" s="10"/>
      <c r="D958" s="10"/>
      <c r="E958" s="10"/>
      <c r="F958" s="10"/>
    </row>
    <row r="959">
      <c r="B959" s="10"/>
      <c r="C959" s="10"/>
      <c r="D959" s="10"/>
      <c r="E959" s="10"/>
      <c r="F959" s="10"/>
    </row>
    <row r="960">
      <c r="B960" s="10"/>
      <c r="C960" s="10"/>
      <c r="D960" s="10"/>
      <c r="E960" s="10"/>
      <c r="F960" s="10"/>
    </row>
    <row r="961">
      <c r="B961" s="10"/>
      <c r="C961" s="10"/>
      <c r="D961" s="10"/>
      <c r="E961" s="10"/>
      <c r="F961" s="10"/>
    </row>
    <row r="962">
      <c r="B962" s="10"/>
      <c r="C962" s="10"/>
      <c r="D962" s="10"/>
      <c r="E962" s="10"/>
      <c r="F962" s="10"/>
    </row>
    <row r="963">
      <c r="B963" s="10"/>
      <c r="C963" s="10"/>
      <c r="D963" s="10"/>
      <c r="E963" s="10"/>
      <c r="F963" s="10"/>
    </row>
    <row r="964">
      <c r="B964" s="10"/>
      <c r="C964" s="10"/>
      <c r="D964" s="10"/>
      <c r="E964" s="10"/>
      <c r="F964" s="10"/>
    </row>
    <row r="965">
      <c r="B965" s="10"/>
      <c r="C965" s="10"/>
      <c r="D965" s="10"/>
      <c r="E965" s="10"/>
      <c r="F965" s="10"/>
    </row>
    <row r="966">
      <c r="B966" s="10"/>
      <c r="C966" s="10"/>
      <c r="D966" s="10"/>
      <c r="E966" s="10"/>
      <c r="F966" s="10"/>
    </row>
    <row r="967">
      <c r="B967" s="10"/>
      <c r="C967" s="10"/>
      <c r="D967" s="10"/>
      <c r="E967" s="10"/>
      <c r="F967" s="10"/>
    </row>
    <row r="968">
      <c r="B968" s="10"/>
      <c r="C968" s="10"/>
      <c r="D968" s="10"/>
      <c r="E968" s="10"/>
      <c r="F968" s="10"/>
    </row>
    <row r="969">
      <c r="B969" s="10"/>
      <c r="C969" s="10"/>
      <c r="D969" s="10"/>
      <c r="E969" s="10"/>
      <c r="F969" s="10"/>
    </row>
    <row r="970">
      <c r="B970" s="10"/>
      <c r="C970" s="10"/>
      <c r="D970" s="10"/>
      <c r="E970" s="10"/>
      <c r="F970" s="10"/>
    </row>
    <row r="971">
      <c r="B971" s="10"/>
      <c r="C971" s="10"/>
      <c r="D971" s="10"/>
      <c r="E971" s="10"/>
      <c r="F971" s="10"/>
    </row>
    <row r="972">
      <c r="B972" s="10"/>
      <c r="C972" s="10"/>
      <c r="D972" s="10"/>
      <c r="E972" s="10"/>
      <c r="F972" s="10"/>
    </row>
    <row r="973">
      <c r="B973" s="10"/>
      <c r="C973" s="10"/>
      <c r="D973" s="10"/>
      <c r="E973" s="10"/>
      <c r="F973" s="10"/>
    </row>
    <row r="974">
      <c r="B974" s="10"/>
      <c r="C974" s="10"/>
      <c r="D974" s="10"/>
      <c r="E974" s="10"/>
      <c r="F974" s="10"/>
    </row>
    <row r="975">
      <c r="B975" s="10"/>
      <c r="C975" s="10"/>
      <c r="D975" s="10"/>
      <c r="E975" s="10"/>
      <c r="F975" s="10"/>
    </row>
    <row r="976">
      <c r="B976" s="10"/>
      <c r="C976" s="10"/>
      <c r="D976" s="10"/>
      <c r="E976" s="10"/>
      <c r="F976" s="10"/>
    </row>
    <row r="977">
      <c r="B977" s="10"/>
      <c r="C977" s="10"/>
      <c r="D977" s="10"/>
      <c r="E977" s="10"/>
      <c r="F977" s="10"/>
    </row>
    <row r="978">
      <c r="B978" s="10"/>
      <c r="C978" s="10"/>
      <c r="D978" s="10"/>
      <c r="E978" s="10"/>
      <c r="F978" s="10"/>
    </row>
    <row r="979">
      <c r="B979" s="10"/>
      <c r="C979" s="10"/>
      <c r="D979" s="10"/>
      <c r="E979" s="10"/>
      <c r="F979" s="10"/>
    </row>
    <row r="980">
      <c r="B980" s="10"/>
      <c r="C980" s="10"/>
      <c r="D980" s="10"/>
      <c r="E980" s="10"/>
      <c r="F980" s="10"/>
    </row>
    <row r="981">
      <c r="B981" s="10"/>
      <c r="C981" s="10"/>
      <c r="D981" s="10"/>
      <c r="E981" s="10"/>
      <c r="F981" s="10"/>
    </row>
    <row r="982">
      <c r="B982" s="10"/>
      <c r="C982" s="10"/>
      <c r="D982" s="10"/>
      <c r="E982" s="10"/>
      <c r="F982" s="10"/>
    </row>
    <row r="983">
      <c r="B983" s="10"/>
      <c r="C983" s="10"/>
      <c r="D983" s="10"/>
      <c r="E983" s="10"/>
      <c r="F983" s="10"/>
    </row>
    <row r="984">
      <c r="B984" s="10"/>
      <c r="C984" s="10"/>
      <c r="D984" s="10"/>
      <c r="E984" s="10"/>
      <c r="F984" s="10"/>
    </row>
    <row r="985">
      <c r="B985" s="10"/>
      <c r="C985" s="10"/>
      <c r="D985" s="10"/>
      <c r="E985" s="10"/>
      <c r="F985" s="10"/>
    </row>
    <row r="986">
      <c r="B986" s="10"/>
      <c r="C986" s="10"/>
      <c r="D986" s="10"/>
      <c r="E986" s="10"/>
      <c r="F986" s="10"/>
    </row>
    <row r="987">
      <c r="B987" s="10"/>
      <c r="C987" s="10"/>
      <c r="D987" s="10"/>
      <c r="E987" s="10"/>
      <c r="F987" s="10"/>
    </row>
    <row r="988">
      <c r="B988" s="10"/>
      <c r="C988" s="10"/>
      <c r="D988" s="10"/>
      <c r="E988" s="10"/>
      <c r="F988" s="10"/>
    </row>
    <row r="989">
      <c r="B989" s="10"/>
      <c r="C989" s="10"/>
      <c r="D989" s="10"/>
      <c r="E989" s="10"/>
      <c r="F989" s="10"/>
    </row>
    <row r="990">
      <c r="B990" s="10"/>
      <c r="C990" s="10"/>
      <c r="D990" s="10"/>
      <c r="E990" s="10"/>
      <c r="F990" s="10"/>
    </row>
    <row r="991">
      <c r="B991" s="10"/>
      <c r="C991" s="10"/>
      <c r="D991" s="10"/>
      <c r="E991" s="10"/>
      <c r="F991" s="10"/>
    </row>
    <row r="992">
      <c r="B992" s="10"/>
      <c r="C992" s="10"/>
      <c r="D992" s="10"/>
      <c r="E992" s="10"/>
      <c r="F992" s="10"/>
    </row>
    <row r="993">
      <c r="B993" s="10"/>
      <c r="C993" s="10"/>
      <c r="D993" s="10"/>
      <c r="E993" s="10"/>
      <c r="F993" s="10"/>
    </row>
    <row r="994">
      <c r="B994" s="10"/>
      <c r="C994" s="10"/>
      <c r="D994" s="10"/>
      <c r="E994" s="10"/>
      <c r="F994" s="10"/>
    </row>
    <row r="995">
      <c r="B995" s="10"/>
      <c r="C995" s="10"/>
      <c r="D995" s="10"/>
      <c r="E995" s="10"/>
      <c r="F995" s="10"/>
    </row>
    <row r="996">
      <c r="B996" s="10"/>
      <c r="C996" s="10"/>
      <c r="D996" s="10"/>
      <c r="E996" s="10"/>
      <c r="F996" s="10"/>
    </row>
    <row r="997">
      <c r="B997" s="10"/>
      <c r="C997" s="10"/>
      <c r="D997" s="10"/>
      <c r="E997" s="10"/>
      <c r="F997" s="10"/>
    </row>
    <row r="998">
      <c r="B998" s="10"/>
      <c r="C998" s="10"/>
      <c r="D998" s="10"/>
      <c r="E998" s="10"/>
      <c r="F998" s="10"/>
    </row>
    <row r="999">
      <c r="B999" s="10"/>
      <c r="C999" s="10"/>
      <c r="D999" s="10"/>
      <c r="E999" s="10"/>
      <c r="F999" s="10"/>
    </row>
    <row r="1000">
      <c r="B1000" s="10"/>
      <c r="C1000" s="10"/>
      <c r="D1000" s="10"/>
      <c r="E1000" s="10"/>
      <c r="F1000"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1.5"/>
    <col customWidth="1" min="7" max="7" width="17.75"/>
    <col customWidth="1" min="13" max="13" width="17.38"/>
    <col customWidth="1" min="14" max="14" width="14.63"/>
  </cols>
  <sheetData>
    <row r="1">
      <c r="A1" s="16" t="s">
        <v>2</v>
      </c>
      <c r="B1" s="16" t="s">
        <v>179</v>
      </c>
      <c r="C1" s="16" t="s">
        <v>180</v>
      </c>
      <c r="D1" s="17" t="s">
        <v>181</v>
      </c>
      <c r="E1" s="16" t="s">
        <v>182</v>
      </c>
      <c r="F1" s="16" t="s">
        <v>145</v>
      </c>
      <c r="G1" s="16" t="s">
        <v>146</v>
      </c>
      <c r="H1" s="1" t="s">
        <v>183</v>
      </c>
      <c r="I1" s="1" t="s">
        <v>184</v>
      </c>
      <c r="J1" s="1" t="s">
        <v>186</v>
      </c>
      <c r="K1" s="1" t="s">
        <v>187</v>
      </c>
      <c r="L1" s="18"/>
      <c r="M1" s="19" t="s">
        <v>188</v>
      </c>
    </row>
    <row r="2">
      <c r="A2" s="1" t="s">
        <v>16</v>
      </c>
      <c r="B2" s="20">
        <v>3.0</v>
      </c>
      <c r="C2" s="20" t="b">
        <v>0</v>
      </c>
      <c r="D2" s="4" t="s">
        <v>189</v>
      </c>
      <c r="F2" s="1" t="s">
        <v>148</v>
      </c>
      <c r="G2" s="20">
        <v>814.0</v>
      </c>
      <c r="H2" s="21">
        <f>VLOOKUP($A2,'Judge Calibration'!$A:$E,4,FALSE)</f>
        <v>4</v>
      </c>
      <c r="I2" s="21" t="b">
        <f>LOWER(VLOOKUP($A2,'Judge Calibration'!$A:$E,5,FALSE))="yes"</f>
        <v>1</v>
      </c>
      <c r="J2" s="21" t="b">
        <f t="shared" ref="J2:J15" si="1">I2=C2</f>
        <v>0</v>
      </c>
      <c r="K2" s="21" t="b">
        <f t="shared" ref="K2:K15" si="2">ABS(B2-H2)&lt;=1</f>
        <v>1</v>
      </c>
      <c r="L2" s="24"/>
      <c r="M2" s="25" t="s">
        <v>200</v>
      </c>
      <c r="N2" s="25">
        <v>14.0</v>
      </c>
    </row>
    <row r="3">
      <c r="A3" s="1" t="s">
        <v>41</v>
      </c>
      <c r="B3" s="20">
        <v>2.0</v>
      </c>
      <c r="C3" s="20" t="b">
        <v>0</v>
      </c>
      <c r="D3" s="4" t="s">
        <v>201</v>
      </c>
      <c r="E3" s="1" t="s">
        <v>202</v>
      </c>
      <c r="F3" s="1" t="s">
        <v>148</v>
      </c>
      <c r="G3" s="20">
        <v>831.0</v>
      </c>
      <c r="H3" s="21">
        <f>VLOOKUP($A3,'Judge Calibration'!$A:$E,4,FALSE)</f>
        <v>2</v>
      </c>
      <c r="I3" s="21" t="b">
        <f>LOWER(VLOOKUP($A3,'Judge Calibration'!$A:$E,5,FALSE))="yes"</f>
        <v>0</v>
      </c>
      <c r="J3" s="21" t="b">
        <f t="shared" si="1"/>
        <v>1</v>
      </c>
      <c r="K3" s="21" t="b">
        <f t="shared" si="2"/>
        <v>1</v>
      </c>
      <c r="L3" s="24"/>
      <c r="M3" s="25" t="s">
        <v>205</v>
      </c>
      <c r="N3" s="26">
        <f>COUNTIF(J2:J15,TRUE)/COUNTA(A2:A15)</f>
        <v>0.6428571429</v>
      </c>
    </row>
    <row r="4">
      <c r="A4" s="1" t="s">
        <v>52</v>
      </c>
      <c r="B4" s="20">
        <v>5.0</v>
      </c>
      <c r="C4" s="20" t="b">
        <v>1</v>
      </c>
      <c r="D4" s="4" t="s">
        <v>208</v>
      </c>
      <c r="F4" s="1" t="s">
        <v>148</v>
      </c>
      <c r="G4" s="20">
        <v>646.0</v>
      </c>
      <c r="H4" s="21">
        <f>VLOOKUP($A4,'Judge Calibration'!$A:$E,4,FALSE)</f>
        <v>3</v>
      </c>
      <c r="I4" s="21" t="b">
        <f>LOWER(VLOOKUP($A4,'Judge Calibration'!$A:$E,5,FALSE))="yes"</f>
        <v>0</v>
      </c>
      <c r="J4" s="21" t="b">
        <f t="shared" si="1"/>
        <v>0</v>
      </c>
      <c r="K4" s="21" t="b">
        <f t="shared" si="2"/>
        <v>0</v>
      </c>
      <c r="L4" s="24"/>
      <c r="M4" s="27" t="s">
        <v>210</v>
      </c>
      <c r="N4" s="26">
        <f>COUNTIF(K2:K15,TRUE)/COUNTA(A2:A15)</f>
        <v>0.7142857143</v>
      </c>
    </row>
    <row r="5">
      <c r="A5" s="1" t="s">
        <v>61</v>
      </c>
      <c r="B5" s="20">
        <v>2.0</v>
      </c>
      <c r="C5" s="20" t="b">
        <v>0</v>
      </c>
      <c r="D5" s="4" t="s">
        <v>212</v>
      </c>
      <c r="E5" s="1" t="s">
        <v>213</v>
      </c>
      <c r="F5" s="1" t="s">
        <v>148</v>
      </c>
      <c r="G5" s="20">
        <v>835.0</v>
      </c>
      <c r="H5" s="21">
        <f>VLOOKUP($A5,'Judge Calibration'!$A:$E,4,FALSE)</f>
        <v>2</v>
      </c>
      <c r="I5" s="21" t="b">
        <f>LOWER(VLOOKUP($A5,'Judge Calibration'!$A:$E,5,FALSE))="yes"</f>
        <v>0</v>
      </c>
      <c r="J5" s="21" t="b">
        <f t="shared" si="1"/>
        <v>1</v>
      </c>
      <c r="K5" s="21" t="b">
        <f t="shared" si="2"/>
        <v>1</v>
      </c>
      <c r="L5" s="24"/>
      <c r="M5" s="27" t="s">
        <v>214</v>
      </c>
      <c r="N5" s="28">
        <f>COUNTIFS(C2:C15,TRUE,I2:I15,FALSE)</f>
        <v>3</v>
      </c>
    </row>
    <row r="6">
      <c r="A6" s="1" t="s">
        <v>72</v>
      </c>
      <c r="B6" s="20">
        <v>5.0</v>
      </c>
      <c r="C6" s="20" t="b">
        <v>1</v>
      </c>
      <c r="D6" s="4" t="s">
        <v>217</v>
      </c>
      <c r="F6" s="1" t="s">
        <v>148</v>
      </c>
      <c r="G6" s="20">
        <v>790.0</v>
      </c>
      <c r="H6" s="21">
        <f>VLOOKUP($A6,'Judge Calibration'!$A:$E,4,FALSE)</f>
        <v>2</v>
      </c>
      <c r="I6" s="21" t="b">
        <f>LOWER(VLOOKUP($A6,'Judge Calibration'!$A:$E,5,FALSE))="yes"</f>
        <v>0</v>
      </c>
      <c r="J6" s="21" t="b">
        <f t="shared" si="1"/>
        <v>0</v>
      </c>
      <c r="K6" s="21" t="b">
        <f t="shared" si="2"/>
        <v>0</v>
      </c>
      <c r="L6" s="24"/>
      <c r="M6" s="27" t="s">
        <v>218</v>
      </c>
      <c r="N6" s="28">
        <f>COUNTIFS(C2:C15,FALSE,I2:I15,TRUE)</f>
        <v>2</v>
      </c>
    </row>
    <row r="7">
      <c r="A7" s="1" t="s">
        <v>81</v>
      </c>
      <c r="B7" s="20">
        <v>5.0</v>
      </c>
      <c r="C7" s="20" t="b">
        <v>1</v>
      </c>
      <c r="D7" s="4" t="s">
        <v>221</v>
      </c>
      <c r="F7" s="1" t="s">
        <v>148</v>
      </c>
      <c r="G7" s="20">
        <v>839.0</v>
      </c>
      <c r="H7" s="21">
        <f>VLOOKUP($A7,'Judge Calibration'!$A:$E,4,FALSE)</f>
        <v>5</v>
      </c>
      <c r="I7" s="21" t="b">
        <f>LOWER(VLOOKUP($A7,'Judge Calibration'!$A:$E,5,FALSE))="yes"</f>
        <v>1</v>
      </c>
      <c r="J7" s="21" t="b">
        <f t="shared" si="1"/>
        <v>1</v>
      </c>
      <c r="K7" s="21" t="b">
        <f t="shared" si="2"/>
        <v>1</v>
      </c>
      <c r="L7" s="24"/>
      <c r="M7" s="29" t="s">
        <v>225</v>
      </c>
      <c r="N7" s="30">
        <f>(N3-N10)/(1-N10)</f>
        <v>0.2553191489</v>
      </c>
      <c r="O7" s="31"/>
      <c r="P7" s="31"/>
    </row>
    <row r="8">
      <c r="A8" s="1" t="s">
        <v>89</v>
      </c>
      <c r="B8" s="20">
        <v>5.0</v>
      </c>
      <c r="C8" s="20" t="b">
        <v>1</v>
      </c>
      <c r="D8" s="4" t="s">
        <v>234</v>
      </c>
      <c r="F8" s="1" t="s">
        <v>148</v>
      </c>
      <c r="G8" s="20">
        <v>830.0</v>
      </c>
      <c r="H8" s="21">
        <f>VLOOKUP($A8,'Judge Calibration'!$A:$E,4,FALSE)</f>
        <v>2</v>
      </c>
      <c r="I8" s="21" t="b">
        <f>LOWER(VLOOKUP($A8,'Judge Calibration'!$A:$E,5,FALSE))="yes"</f>
        <v>0</v>
      </c>
      <c r="J8" s="21" t="b">
        <f t="shared" si="1"/>
        <v>0</v>
      </c>
      <c r="K8" s="21" t="b">
        <f t="shared" si="2"/>
        <v>0</v>
      </c>
      <c r="L8" s="18"/>
      <c r="M8" s="29" t="s">
        <v>248</v>
      </c>
      <c r="N8" s="26">
        <f>COUNTIF(I2:I15,TRUE)/COUNTA(A2:A15)</f>
        <v>0.3571428571</v>
      </c>
      <c r="O8" s="31"/>
      <c r="P8" s="31"/>
    </row>
    <row r="9">
      <c r="A9" s="1" t="s">
        <v>99</v>
      </c>
      <c r="B9" s="20">
        <v>2.0</v>
      </c>
      <c r="C9" s="20" t="b">
        <v>0</v>
      </c>
      <c r="D9" s="4" t="s">
        <v>251</v>
      </c>
      <c r="E9" s="1" t="s">
        <v>252</v>
      </c>
      <c r="F9" s="1" t="s">
        <v>148</v>
      </c>
      <c r="G9" s="20">
        <v>809.0</v>
      </c>
      <c r="H9" s="21">
        <f>VLOOKUP($A9,'Judge Calibration'!$A:$E,4,FALSE)</f>
        <v>2</v>
      </c>
      <c r="I9" s="21" t="b">
        <f>LOWER(VLOOKUP($A9,'Judge Calibration'!$A:$E,5,FALSE))="yes"</f>
        <v>0</v>
      </c>
      <c r="J9" s="21" t="b">
        <f t="shared" si="1"/>
        <v>1</v>
      </c>
      <c r="K9" s="21" t="b">
        <f t="shared" si="2"/>
        <v>1</v>
      </c>
      <c r="L9" s="18"/>
      <c r="M9" s="29" t="s">
        <v>257</v>
      </c>
      <c r="N9" s="26">
        <f>COUNTIF(C2:C15,TRUE)/COUNTA(A2:A15)</f>
        <v>0.4285714286</v>
      </c>
      <c r="O9" s="31"/>
      <c r="P9" s="31"/>
    </row>
    <row r="10">
      <c r="A10" s="1" t="s">
        <v>107</v>
      </c>
      <c r="B10" s="20">
        <v>3.0</v>
      </c>
      <c r="C10" s="20" t="b">
        <v>0</v>
      </c>
      <c r="D10" s="4" t="s">
        <v>260</v>
      </c>
      <c r="E10" s="1" t="s">
        <v>261</v>
      </c>
      <c r="F10" s="1" t="s">
        <v>148</v>
      </c>
      <c r="G10" s="20">
        <v>825.0</v>
      </c>
      <c r="H10" s="21">
        <f>VLOOKUP($A10,'Judge Calibration'!$A:$E,4,FALSE)</f>
        <v>3</v>
      </c>
      <c r="I10" s="21" t="b">
        <f>LOWER(VLOOKUP($A10,'Judge Calibration'!$A:$E,5,FALSE))="yes"</f>
        <v>0</v>
      </c>
      <c r="J10" s="21" t="b">
        <f t="shared" si="1"/>
        <v>1</v>
      </c>
      <c r="K10" s="21" t="b">
        <f t="shared" si="2"/>
        <v>1</v>
      </c>
      <c r="L10" s="18"/>
      <c r="M10" s="29" t="s">
        <v>267</v>
      </c>
      <c r="N10" s="26">
        <f>N8*N9+(1-N8)*(1-N9)</f>
        <v>0.5204081633</v>
      </c>
      <c r="O10" s="31"/>
      <c r="P10" s="31"/>
    </row>
    <row r="11">
      <c r="A11" s="1" t="s">
        <v>115</v>
      </c>
      <c r="B11" s="20">
        <v>5.0</v>
      </c>
      <c r="C11" s="20" t="b">
        <v>1</v>
      </c>
      <c r="D11" s="4" t="s">
        <v>270</v>
      </c>
      <c r="F11" s="1" t="s">
        <v>148</v>
      </c>
      <c r="G11" s="20">
        <v>844.0</v>
      </c>
      <c r="H11" s="21">
        <f>VLOOKUP($A11,'Judge Calibration'!$A:$E,4,FALSE)</f>
        <v>5</v>
      </c>
      <c r="I11" s="21" t="b">
        <f>LOWER(VLOOKUP($A11,'Judge Calibration'!$A:$E,5,FALSE))="yes"</f>
        <v>1</v>
      </c>
      <c r="J11" s="21" t="b">
        <f t="shared" si="1"/>
        <v>1</v>
      </c>
      <c r="K11" s="21" t="b">
        <f t="shared" si="2"/>
        <v>1</v>
      </c>
      <c r="M11" s="32"/>
      <c r="N11" s="22"/>
    </row>
    <row r="12">
      <c r="A12" s="1" t="s">
        <v>119</v>
      </c>
      <c r="B12" s="20">
        <v>2.0</v>
      </c>
      <c r="C12" s="20" t="b">
        <v>0</v>
      </c>
      <c r="D12" s="4" t="s">
        <v>275</v>
      </c>
      <c r="E12" s="1" t="s">
        <v>276</v>
      </c>
      <c r="F12" s="1" t="s">
        <v>148</v>
      </c>
      <c r="G12" s="20">
        <v>842.0</v>
      </c>
      <c r="H12" s="21">
        <f>VLOOKUP($A12,'Judge Calibration'!$A:$E,4,FALSE)</f>
        <v>2</v>
      </c>
      <c r="I12" s="21" t="b">
        <f>LOWER(VLOOKUP($A12,'Judge Calibration'!$A:$E,5,FALSE))="yes"</f>
        <v>0</v>
      </c>
      <c r="J12" s="21" t="b">
        <f t="shared" si="1"/>
        <v>1</v>
      </c>
      <c r="K12" s="21" t="b">
        <f t="shared" si="2"/>
        <v>1</v>
      </c>
      <c r="M12" s="32"/>
      <c r="N12" s="22"/>
    </row>
    <row r="13">
      <c r="A13" s="1" t="s">
        <v>122</v>
      </c>
      <c r="B13" s="20">
        <v>2.0</v>
      </c>
      <c r="C13" s="20" t="b">
        <v>0</v>
      </c>
      <c r="D13" s="4" t="s">
        <v>281</v>
      </c>
      <c r="E13" s="1" t="s">
        <v>282</v>
      </c>
      <c r="F13" s="1" t="s">
        <v>148</v>
      </c>
      <c r="G13" s="20">
        <v>766.0</v>
      </c>
      <c r="H13" s="21">
        <f>VLOOKUP($A13,'Judge Calibration'!$A:$E,4,FALSE)</f>
        <v>1</v>
      </c>
      <c r="I13" s="21" t="b">
        <f>LOWER(VLOOKUP($A13,'Judge Calibration'!$A:$E,5,FALSE))="yes"</f>
        <v>0</v>
      </c>
      <c r="J13" s="21" t="b">
        <f t="shared" si="1"/>
        <v>1</v>
      </c>
      <c r="K13" s="21" t="b">
        <f t="shared" si="2"/>
        <v>1</v>
      </c>
      <c r="M13" s="32"/>
      <c r="N13" s="22"/>
    </row>
    <row r="14">
      <c r="A14" s="1" t="s">
        <v>125</v>
      </c>
      <c r="B14" s="20">
        <v>2.0</v>
      </c>
      <c r="C14" s="20" t="b">
        <v>0</v>
      </c>
      <c r="D14" s="4" t="s">
        <v>289</v>
      </c>
      <c r="E14" s="1" t="s">
        <v>290</v>
      </c>
      <c r="F14" s="1" t="s">
        <v>148</v>
      </c>
      <c r="G14" s="20">
        <v>784.0</v>
      </c>
      <c r="H14" s="21">
        <f>VLOOKUP($A14,'Judge Calibration'!$A:$E,4,FALSE)</f>
        <v>4</v>
      </c>
      <c r="I14" s="21" t="b">
        <f>LOWER(VLOOKUP($A14,'Judge Calibration'!$A:$E,5,FALSE))="yes"</f>
        <v>1</v>
      </c>
      <c r="J14" s="21" t="b">
        <f t="shared" si="1"/>
        <v>0</v>
      </c>
      <c r="K14" s="21" t="b">
        <f t="shared" si="2"/>
        <v>0</v>
      </c>
      <c r="M14" s="32"/>
      <c r="N14" s="22"/>
    </row>
    <row r="15">
      <c r="A15" s="1" t="s">
        <v>130</v>
      </c>
      <c r="B15" s="20">
        <v>5.0</v>
      </c>
      <c r="C15" s="20" t="b">
        <v>1</v>
      </c>
      <c r="D15" s="4" t="s">
        <v>234</v>
      </c>
      <c r="F15" s="1" t="s">
        <v>148</v>
      </c>
      <c r="G15" s="20">
        <v>843.0</v>
      </c>
      <c r="H15" s="21">
        <f>VLOOKUP($A15,'Judge Calibration'!$A:$E,4,FALSE)</f>
        <v>5</v>
      </c>
      <c r="I15" s="21" t="b">
        <f>LOWER(VLOOKUP($A15,'Judge Calibration'!$A:$E,5,FALSE))="yes"</f>
        <v>1</v>
      </c>
      <c r="J15" s="21" t="b">
        <f t="shared" si="1"/>
        <v>1</v>
      </c>
      <c r="K15" s="21" t="b">
        <f t="shared" si="2"/>
        <v>1</v>
      </c>
      <c r="M15" s="32"/>
      <c r="N15" s="22"/>
    </row>
    <row r="16">
      <c r="D16" s="10"/>
      <c r="M16" s="32"/>
      <c r="N16" s="22"/>
    </row>
    <row r="17">
      <c r="D17" s="10"/>
      <c r="M17" s="32"/>
      <c r="N17" s="22"/>
    </row>
    <row r="18">
      <c r="D18" s="10"/>
      <c r="M18" s="32"/>
      <c r="N18" s="22"/>
    </row>
    <row r="19">
      <c r="D19" s="10"/>
      <c r="M19" s="32"/>
      <c r="N19" s="22"/>
    </row>
    <row r="20">
      <c r="D20" s="10"/>
      <c r="M20" s="32"/>
      <c r="N20" s="22"/>
    </row>
    <row r="21">
      <c r="D21" s="10"/>
      <c r="M21" s="32"/>
      <c r="N21" s="22"/>
    </row>
    <row r="22">
      <c r="D22" s="10"/>
      <c r="M22" s="32"/>
      <c r="N22" s="22"/>
    </row>
    <row r="23">
      <c r="D23" s="10"/>
      <c r="M23" s="32"/>
      <c r="N23" s="22"/>
    </row>
    <row r="24">
      <c r="D24" s="10"/>
      <c r="M24" s="32"/>
      <c r="N24" s="22"/>
    </row>
    <row r="25">
      <c r="D25" s="10"/>
      <c r="M25" s="32"/>
      <c r="N25" s="22"/>
    </row>
    <row r="26">
      <c r="D26" s="10"/>
      <c r="M26" s="32"/>
      <c r="N26" s="22"/>
    </row>
    <row r="27">
      <c r="D27" s="10"/>
      <c r="M27" s="32"/>
      <c r="N27" s="22"/>
    </row>
    <row r="28">
      <c r="D28" s="10"/>
      <c r="M28" s="32"/>
      <c r="N28" s="22"/>
    </row>
    <row r="29">
      <c r="D29" s="10"/>
      <c r="M29" s="32"/>
      <c r="N29" s="22"/>
    </row>
    <row r="30">
      <c r="D30" s="10"/>
      <c r="M30" s="32"/>
      <c r="N30" s="22"/>
    </row>
    <row r="31">
      <c r="D31" s="10"/>
      <c r="M31" s="32"/>
      <c r="N31" s="22"/>
    </row>
    <row r="32">
      <c r="D32" s="10"/>
      <c r="M32" s="32"/>
      <c r="N32" s="22"/>
    </row>
    <row r="33">
      <c r="D33" s="10"/>
      <c r="M33" s="32"/>
      <c r="N33" s="22"/>
    </row>
    <row r="34">
      <c r="D34" s="10"/>
      <c r="M34" s="32"/>
      <c r="N34" s="22"/>
    </row>
    <row r="35">
      <c r="D35" s="10"/>
      <c r="M35" s="32"/>
      <c r="N35" s="22"/>
    </row>
    <row r="36">
      <c r="D36" s="10"/>
      <c r="M36" s="32"/>
      <c r="N36" s="22"/>
    </row>
    <row r="37">
      <c r="D37" s="10"/>
      <c r="M37" s="32"/>
      <c r="N37" s="22"/>
    </row>
    <row r="38">
      <c r="D38" s="10"/>
      <c r="M38" s="32"/>
      <c r="N38" s="22"/>
    </row>
    <row r="39">
      <c r="D39" s="10"/>
      <c r="M39" s="32"/>
      <c r="N39" s="22"/>
    </row>
    <row r="40">
      <c r="D40" s="10"/>
      <c r="M40" s="32"/>
      <c r="N40" s="22"/>
    </row>
    <row r="41">
      <c r="D41" s="10"/>
      <c r="M41" s="32"/>
      <c r="N41" s="22"/>
    </row>
    <row r="42">
      <c r="D42" s="10"/>
      <c r="M42" s="32"/>
      <c r="N42" s="22"/>
    </row>
    <row r="43">
      <c r="D43" s="10"/>
      <c r="M43" s="32"/>
      <c r="N43" s="22"/>
    </row>
    <row r="44">
      <c r="D44" s="10"/>
      <c r="M44" s="32"/>
      <c r="N44" s="22"/>
    </row>
    <row r="45">
      <c r="D45" s="10"/>
      <c r="M45" s="32"/>
      <c r="N45" s="22"/>
    </row>
    <row r="46">
      <c r="D46" s="10"/>
      <c r="M46" s="32"/>
      <c r="N46" s="22"/>
    </row>
    <row r="47">
      <c r="D47" s="10"/>
      <c r="M47" s="32"/>
      <c r="N47" s="22"/>
    </row>
    <row r="48">
      <c r="D48" s="10"/>
      <c r="M48" s="32"/>
      <c r="N48" s="22"/>
    </row>
    <row r="49">
      <c r="D49" s="10"/>
      <c r="M49" s="32"/>
      <c r="N49" s="22"/>
    </row>
    <row r="50">
      <c r="D50" s="10"/>
      <c r="M50" s="32"/>
      <c r="N50" s="22"/>
    </row>
    <row r="51">
      <c r="D51" s="10"/>
      <c r="M51" s="32"/>
      <c r="N51" s="22"/>
    </row>
    <row r="52">
      <c r="D52" s="10"/>
      <c r="M52" s="32"/>
      <c r="N52" s="22"/>
    </row>
    <row r="53">
      <c r="D53" s="10"/>
      <c r="M53" s="32"/>
      <c r="N53" s="22"/>
    </row>
    <row r="54">
      <c r="D54" s="10"/>
      <c r="M54" s="32"/>
      <c r="N54" s="22"/>
    </row>
    <row r="55">
      <c r="D55" s="10"/>
      <c r="M55" s="32"/>
      <c r="N55" s="22"/>
    </row>
    <row r="56">
      <c r="D56" s="10"/>
      <c r="M56" s="32"/>
      <c r="N56" s="22"/>
    </row>
    <row r="57">
      <c r="D57" s="10"/>
      <c r="M57" s="32"/>
      <c r="N57" s="22"/>
    </row>
    <row r="58">
      <c r="D58" s="10"/>
      <c r="M58" s="32"/>
      <c r="N58" s="22"/>
    </row>
    <row r="59">
      <c r="D59" s="10"/>
      <c r="M59" s="32"/>
      <c r="N59" s="22"/>
    </row>
    <row r="60">
      <c r="D60" s="10"/>
      <c r="M60" s="32"/>
      <c r="N60" s="22"/>
    </row>
    <row r="61">
      <c r="D61" s="10"/>
      <c r="M61" s="32"/>
      <c r="N61" s="22"/>
    </row>
    <row r="62">
      <c r="D62" s="10"/>
      <c r="M62" s="32"/>
      <c r="N62" s="22"/>
    </row>
    <row r="63">
      <c r="D63" s="10"/>
      <c r="M63" s="32"/>
      <c r="N63" s="22"/>
    </row>
    <row r="64">
      <c r="D64" s="10"/>
      <c r="M64" s="32"/>
      <c r="N64" s="22"/>
    </row>
    <row r="65">
      <c r="D65" s="10"/>
      <c r="M65" s="32"/>
      <c r="N65" s="22"/>
    </row>
    <row r="66">
      <c r="D66" s="10"/>
      <c r="M66" s="32"/>
      <c r="N66" s="22"/>
    </row>
    <row r="67">
      <c r="D67" s="10"/>
      <c r="M67" s="32"/>
      <c r="N67" s="22"/>
    </row>
    <row r="68">
      <c r="D68" s="10"/>
      <c r="M68" s="32"/>
      <c r="N68" s="22"/>
    </row>
    <row r="69">
      <c r="D69" s="10"/>
      <c r="M69" s="32"/>
      <c r="N69" s="22"/>
    </row>
    <row r="70">
      <c r="D70" s="10"/>
      <c r="M70" s="32"/>
      <c r="N70" s="22"/>
    </row>
    <row r="71">
      <c r="D71" s="10"/>
      <c r="M71" s="32"/>
      <c r="N71" s="22"/>
    </row>
    <row r="72">
      <c r="D72" s="10"/>
      <c r="M72" s="32"/>
      <c r="N72" s="22"/>
    </row>
    <row r="73">
      <c r="D73" s="10"/>
      <c r="M73" s="32"/>
      <c r="N73" s="22"/>
    </row>
    <row r="74">
      <c r="D74" s="10"/>
      <c r="M74" s="32"/>
      <c r="N74" s="22"/>
    </row>
    <row r="75">
      <c r="D75" s="10"/>
      <c r="M75" s="32"/>
      <c r="N75" s="22"/>
    </row>
    <row r="76">
      <c r="D76" s="10"/>
      <c r="M76" s="32"/>
      <c r="N76" s="22"/>
    </row>
    <row r="77">
      <c r="D77" s="10"/>
      <c r="M77" s="32"/>
      <c r="N77" s="22"/>
    </row>
    <row r="78">
      <c r="D78" s="10"/>
      <c r="M78" s="32"/>
      <c r="N78" s="22"/>
    </row>
    <row r="79">
      <c r="D79" s="10"/>
      <c r="M79" s="32"/>
      <c r="N79" s="22"/>
    </row>
    <row r="80">
      <c r="D80" s="10"/>
      <c r="M80" s="32"/>
      <c r="N80" s="22"/>
    </row>
    <row r="81">
      <c r="D81" s="10"/>
      <c r="M81" s="32"/>
      <c r="N81" s="22"/>
    </row>
    <row r="82">
      <c r="D82" s="10"/>
      <c r="M82" s="32"/>
      <c r="N82" s="22"/>
    </row>
    <row r="83">
      <c r="D83" s="10"/>
      <c r="M83" s="32"/>
      <c r="N83" s="22"/>
    </row>
    <row r="84">
      <c r="D84" s="10"/>
      <c r="M84" s="32"/>
      <c r="N84" s="22"/>
    </row>
    <row r="85">
      <c r="D85" s="10"/>
      <c r="M85" s="32"/>
      <c r="N85" s="22"/>
    </row>
    <row r="86">
      <c r="D86" s="10"/>
      <c r="M86" s="32"/>
      <c r="N86" s="22"/>
    </row>
    <row r="87">
      <c r="D87" s="10"/>
      <c r="M87" s="32"/>
      <c r="N87" s="22"/>
    </row>
    <row r="88">
      <c r="D88" s="10"/>
      <c r="M88" s="32"/>
      <c r="N88" s="22"/>
    </row>
    <row r="89">
      <c r="D89" s="10"/>
      <c r="M89" s="32"/>
      <c r="N89" s="22"/>
    </row>
    <row r="90">
      <c r="D90" s="10"/>
      <c r="M90" s="32"/>
      <c r="N90" s="22"/>
    </row>
    <row r="91">
      <c r="D91" s="10"/>
      <c r="M91" s="32"/>
      <c r="N91" s="22"/>
    </row>
    <row r="92">
      <c r="D92" s="10"/>
      <c r="M92" s="32"/>
      <c r="N92" s="22"/>
    </row>
    <row r="93">
      <c r="D93" s="10"/>
      <c r="M93" s="32"/>
      <c r="N93" s="22"/>
    </row>
    <row r="94">
      <c r="D94" s="10"/>
      <c r="M94" s="32"/>
      <c r="N94" s="22"/>
    </row>
    <row r="95">
      <c r="D95" s="10"/>
      <c r="M95" s="32"/>
      <c r="N95" s="22"/>
    </row>
    <row r="96">
      <c r="D96" s="10"/>
      <c r="M96" s="32"/>
      <c r="N96" s="22"/>
    </row>
    <row r="97">
      <c r="D97" s="10"/>
      <c r="M97" s="32"/>
      <c r="N97" s="22"/>
    </row>
    <row r="98">
      <c r="D98" s="10"/>
      <c r="M98" s="32"/>
      <c r="N98" s="22"/>
    </row>
    <row r="99">
      <c r="D99" s="10"/>
      <c r="M99" s="32"/>
      <c r="N99" s="22"/>
    </row>
    <row r="100">
      <c r="D100" s="10"/>
      <c r="M100" s="32"/>
      <c r="N100" s="22"/>
    </row>
    <row r="101">
      <c r="D101" s="10"/>
      <c r="M101" s="32"/>
      <c r="N101" s="22"/>
    </row>
    <row r="102">
      <c r="D102" s="10"/>
      <c r="M102" s="32"/>
      <c r="N102" s="22"/>
    </row>
    <row r="103">
      <c r="D103" s="10"/>
      <c r="M103" s="32"/>
      <c r="N103" s="22"/>
    </row>
    <row r="104">
      <c r="D104" s="10"/>
      <c r="M104" s="32"/>
      <c r="N104" s="22"/>
    </row>
    <row r="105">
      <c r="D105" s="10"/>
      <c r="M105" s="32"/>
      <c r="N105" s="22"/>
    </row>
    <row r="106">
      <c r="D106" s="10"/>
      <c r="M106" s="32"/>
      <c r="N106" s="22"/>
    </row>
    <row r="107">
      <c r="D107" s="10"/>
      <c r="M107" s="32"/>
      <c r="N107" s="22"/>
    </row>
    <row r="108">
      <c r="D108" s="10"/>
      <c r="M108" s="32"/>
      <c r="N108" s="22"/>
    </row>
    <row r="109">
      <c r="D109" s="10"/>
      <c r="M109" s="32"/>
      <c r="N109" s="22"/>
    </row>
    <row r="110">
      <c r="D110" s="10"/>
      <c r="M110" s="32"/>
      <c r="N110" s="22"/>
    </row>
    <row r="111">
      <c r="D111" s="10"/>
      <c r="M111" s="32"/>
      <c r="N111" s="22"/>
    </row>
    <row r="112">
      <c r="D112" s="10"/>
      <c r="M112" s="32"/>
      <c r="N112" s="22"/>
    </row>
    <row r="113">
      <c r="D113" s="10"/>
      <c r="M113" s="32"/>
      <c r="N113" s="22"/>
    </row>
    <row r="114">
      <c r="D114" s="10"/>
      <c r="M114" s="32"/>
      <c r="N114" s="22"/>
    </row>
    <row r="115">
      <c r="D115" s="10"/>
      <c r="M115" s="32"/>
      <c r="N115" s="22"/>
    </row>
    <row r="116">
      <c r="D116" s="10"/>
      <c r="M116" s="32"/>
      <c r="N116" s="22"/>
    </row>
    <row r="117">
      <c r="D117" s="10"/>
      <c r="M117" s="32"/>
      <c r="N117" s="22"/>
    </row>
    <row r="118">
      <c r="D118" s="10"/>
      <c r="M118" s="32"/>
      <c r="N118" s="22"/>
    </row>
    <row r="119">
      <c r="D119" s="10"/>
      <c r="M119" s="32"/>
      <c r="N119" s="22"/>
    </row>
    <row r="120">
      <c r="D120" s="10"/>
      <c r="M120" s="32"/>
      <c r="N120" s="22"/>
    </row>
    <row r="121">
      <c r="D121" s="10"/>
      <c r="M121" s="32"/>
      <c r="N121" s="22"/>
    </row>
    <row r="122">
      <c r="D122" s="10"/>
      <c r="M122" s="32"/>
      <c r="N122" s="22"/>
    </row>
    <row r="123">
      <c r="D123" s="10"/>
      <c r="M123" s="32"/>
      <c r="N123" s="22"/>
    </row>
    <row r="124">
      <c r="D124" s="10"/>
      <c r="M124" s="32"/>
      <c r="N124" s="22"/>
    </row>
    <row r="125">
      <c r="D125" s="10"/>
      <c r="M125" s="32"/>
      <c r="N125" s="22"/>
    </row>
    <row r="126">
      <c r="D126" s="10"/>
      <c r="M126" s="32"/>
      <c r="N126" s="22"/>
    </row>
    <row r="127">
      <c r="D127" s="10"/>
      <c r="M127" s="32"/>
      <c r="N127" s="22"/>
    </row>
    <row r="128">
      <c r="D128" s="10"/>
      <c r="M128" s="32"/>
      <c r="N128" s="22"/>
    </row>
    <row r="129">
      <c r="D129" s="10"/>
      <c r="M129" s="32"/>
      <c r="N129" s="22"/>
    </row>
    <row r="130">
      <c r="D130" s="10"/>
      <c r="M130" s="32"/>
      <c r="N130" s="22"/>
    </row>
    <row r="131">
      <c r="D131" s="10"/>
      <c r="M131" s="32"/>
      <c r="N131" s="22"/>
    </row>
    <row r="132">
      <c r="D132" s="10"/>
      <c r="M132" s="32"/>
      <c r="N132" s="22"/>
    </row>
    <row r="133">
      <c r="D133" s="10"/>
      <c r="M133" s="32"/>
      <c r="N133" s="22"/>
    </row>
    <row r="134">
      <c r="D134" s="10"/>
      <c r="M134" s="32"/>
      <c r="N134" s="22"/>
    </row>
    <row r="135">
      <c r="D135" s="10"/>
      <c r="M135" s="32"/>
      <c r="N135" s="22"/>
    </row>
    <row r="136">
      <c r="D136" s="10"/>
      <c r="M136" s="32"/>
      <c r="N136" s="22"/>
    </row>
    <row r="137">
      <c r="D137" s="10"/>
      <c r="M137" s="32"/>
      <c r="N137" s="22"/>
    </row>
    <row r="138">
      <c r="D138" s="10"/>
      <c r="M138" s="32"/>
      <c r="N138" s="22"/>
    </row>
    <row r="139">
      <c r="D139" s="10"/>
      <c r="M139" s="32"/>
      <c r="N139" s="22"/>
    </row>
    <row r="140">
      <c r="D140" s="10"/>
      <c r="M140" s="32"/>
      <c r="N140" s="22"/>
    </row>
    <row r="141">
      <c r="D141" s="10"/>
      <c r="M141" s="32"/>
      <c r="N141" s="22"/>
    </row>
    <row r="142">
      <c r="D142" s="10"/>
      <c r="M142" s="32"/>
      <c r="N142" s="22"/>
    </row>
    <row r="143">
      <c r="D143" s="10"/>
      <c r="M143" s="32"/>
      <c r="N143" s="22"/>
    </row>
    <row r="144">
      <c r="D144" s="10"/>
      <c r="M144" s="32"/>
      <c r="N144" s="22"/>
    </row>
    <row r="145">
      <c r="D145" s="10"/>
      <c r="M145" s="32"/>
      <c r="N145" s="22"/>
    </row>
    <row r="146">
      <c r="D146" s="10"/>
      <c r="M146" s="32"/>
      <c r="N146" s="22"/>
    </row>
    <row r="147">
      <c r="D147" s="10"/>
      <c r="M147" s="32"/>
      <c r="N147" s="22"/>
    </row>
    <row r="148">
      <c r="D148" s="10"/>
      <c r="M148" s="32"/>
      <c r="N148" s="22"/>
    </row>
    <row r="149">
      <c r="D149" s="10"/>
      <c r="M149" s="32"/>
      <c r="N149" s="22"/>
    </row>
    <row r="150">
      <c r="D150" s="10"/>
      <c r="M150" s="32"/>
      <c r="N150" s="22"/>
    </row>
    <row r="151">
      <c r="D151" s="10"/>
      <c r="M151" s="32"/>
      <c r="N151" s="22"/>
    </row>
    <row r="152">
      <c r="D152" s="10"/>
      <c r="M152" s="32"/>
      <c r="N152" s="22"/>
    </row>
    <row r="153">
      <c r="D153" s="10"/>
      <c r="M153" s="32"/>
      <c r="N153" s="22"/>
    </row>
    <row r="154">
      <c r="D154" s="10"/>
      <c r="M154" s="32"/>
      <c r="N154" s="22"/>
    </row>
    <row r="155">
      <c r="D155" s="10"/>
      <c r="M155" s="32"/>
      <c r="N155" s="22"/>
    </row>
    <row r="156">
      <c r="D156" s="10"/>
      <c r="M156" s="32"/>
      <c r="N156" s="22"/>
    </row>
    <row r="157">
      <c r="D157" s="10"/>
      <c r="M157" s="32"/>
      <c r="N157" s="22"/>
    </row>
    <row r="158">
      <c r="D158" s="10"/>
      <c r="M158" s="32"/>
      <c r="N158" s="22"/>
    </row>
    <row r="159">
      <c r="D159" s="10"/>
      <c r="M159" s="32"/>
      <c r="N159" s="22"/>
    </row>
    <row r="160">
      <c r="D160" s="10"/>
      <c r="M160" s="32"/>
      <c r="N160" s="22"/>
    </row>
    <row r="161">
      <c r="D161" s="10"/>
      <c r="M161" s="32"/>
      <c r="N161" s="22"/>
    </row>
    <row r="162">
      <c r="D162" s="10"/>
      <c r="M162" s="32"/>
      <c r="N162" s="22"/>
    </row>
    <row r="163">
      <c r="D163" s="10"/>
      <c r="M163" s="32"/>
      <c r="N163" s="22"/>
    </row>
    <row r="164">
      <c r="D164" s="10"/>
      <c r="M164" s="32"/>
      <c r="N164" s="22"/>
    </row>
    <row r="165">
      <c r="D165" s="10"/>
      <c r="M165" s="32"/>
      <c r="N165" s="22"/>
    </row>
    <row r="166">
      <c r="D166" s="10"/>
      <c r="M166" s="32"/>
      <c r="N166" s="22"/>
    </row>
    <row r="167">
      <c r="D167" s="10"/>
      <c r="M167" s="32"/>
      <c r="N167" s="22"/>
    </row>
    <row r="168">
      <c r="D168" s="10"/>
      <c r="M168" s="32"/>
      <c r="N168" s="22"/>
    </row>
    <row r="169">
      <c r="D169" s="10"/>
      <c r="M169" s="32"/>
      <c r="N169" s="22"/>
    </row>
    <row r="170">
      <c r="D170" s="10"/>
      <c r="M170" s="32"/>
      <c r="N170" s="22"/>
    </row>
    <row r="171">
      <c r="D171" s="10"/>
      <c r="M171" s="32"/>
      <c r="N171" s="22"/>
    </row>
    <row r="172">
      <c r="D172" s="10"/>
      <c r="M172" s="32"/>
      <c r="N172" s="22"/>
    </row>
    <row r="173">
      <c r="D173" s="10"/>
      <c r="M173" s="32"/>
      <c r="N173" s="22"/>
    </row>
    <row r="174">
      <c r="D174" s="10"/>
      <c r="M174" s="32"/>
      <c r="N174" s="22"/>
    </row>
    <row r="175">
      <c r="D175" s="10"/>
      <c r="M175" s="32"/>
      <c r="N175" s="22"/>
    </row>
    <row r="176">
      <c r="D176" s="10"/>
      <c r="M176" s="32"/>
      <c r="N176" s="22"/>
    </row>
    <row r="177">
      <c r="D177" s="10"/>
      <c r="M177" s="32"/>
      <c r="N177" s="22"/>
    </row>
    <row r="178">
      <c r="D178" s="10"/>
      <c r="M178" s="32"/>
      <c r="N178" s="22"/>
    </row>
    <row r="179">
      <c r="D179" s="10"/>
      <c r="M179" s="32"/>
      <c r="N179" s="22"/>
    </row>
    <row r="180">
      <c r="D180" s="10"/>
      <c r="M180" s="32"/>
      <c r="N180" s="22"/>
    </row>
    <row r="181">
      <c r="D181" s="10"/>
      <c r="M181" s="32"/>
      <c r="N181" s="22"/>
    </row>
    <row r="182">
      <c r="D182" s="10"/>
      <c r="M182" s="32"/>
      <c r="N182" s="22"/>
    </row>
    <row r="183">
      <c r="D183" s="10"/>
      <c r="M183" s="32"/>
      <c r="N183" s="22"/>
    </row>
    <row r="184">
      <c r="D184" s="10"/>
      <c r="M184" s="32"/>
      <c r="N184" s="22"/>
    </row>
    <row r="185">
      <c r="D185" s="10"/>
      <c r="M185" s="32"/>
      <c r="N185" s="22"/>
    </row>
    <row r="186">
      <c r="D186" s="10"/>
      <c r="M186" s="32"/>
      <c r="N186" s="22"/>
    </row>
    <row r="187">
      <c r="D187" s="10"/>
      <c r="M187" s="32"/>
      <c r="N187" s="22"/>
    </row>
    <row r="188">
      <c r="D188" s="10"/>
      <c r="M188" s="32"/>
      <c r="N188" s="22"/>
    </row>
    <row r="189">
      <c r="D189" s="10"/>
      <c r="M189" s="32"/>
      <c r="N189" s="22"/>
    </row>
    <row r="190">
      <c r="D190" s="10"/>
      <c r="M190" s="32"/>
      <c r="N190" s="22"/>
    </row>
    <row r="191">
      <c r="D191" s="10"/>
      <c r="M191" s="32"/>
      <c r="N191" s="22"/>
    </row>
    <row r="192">
      <c r="D192" s="10"/>
      <c r="M192" s="32"/>
      <c r="N192" s="22"/>
    </row>
    <row r="193">
      <c r="D193" s="10"/>
      <c r="M193" s="32"/>
      <c r="N193" s="22"/>
    </row>
    <row r="194">
      <c r="D194" s="10"/>
      <c r="M194" s="32"/>
      <c r="N194" s="22"/>
    </row>
    <row r="195">
      <c r="D195" s="10"/>
      <c r="M195" s="32"/>
      <c r="N195" s="22"/>
    </row>
    <row r="196">
      <c r="D196" s="10"/>
      <c r="M196" s="32"/>
      <c r="N196" s="22"/>
    </row>
    <row r="197">
      <c r="D197" s="10"/>
      <c r="M197" s="32"/>
      <c r="N197" s="22"/>
    </row>
    <row r="198">
      <c r="D198" s="10"/>
      <c r="M198" s="32"/>
      <c r="N198" s="22"/>
    </row>
    <row r="199">
      <c r="D199" s="10"/>
      <c r="M199" s="32"/>
      <c r="N199" s="22"/>
    </row>
    <row r="200">
      <c r="D200" s="10"/>
      <c r="M200" s="32"/>
      <c r="N200" s="22"/>
    </row>
    <row r="201">
      <c r="D201" s="10"/>
      <c r="M201" s="32"/>
      <c r="N201" s="22"/>
    </row>
    <row r="202">
      <c r="D202" s="10"/>
      <c r="M202" s="32"/>
      <c r="N202" s="22"/>
    </row>
    <row r="203">
      <c r="D203" s="10"/>
      <c r="M203" s="32"/>
      <c r="N203" s="22"/>
    </row>
    <row r="204">
      <c r="D204" s="10"/>
      <c r="M204" s="32"/>
      <c r="N204" s="22"/>
    </row>
    <row r="205">
      <c r="D205" s="10"/>
      <c r="M205" s="32"/>
      <c r="N205" s="22"/>
    </row>
    <row r="206">
      <c r="D206" s="10"/>
      <c r="M206" s="32"/>
      <c r="N206" s="22"/>
    </row>
    <row r="207">
      <c r="D207" s="10"/>
      <c r="M207" s="32"/>
      <c r="N207" s="22"/>
    </row>
    <row r="208">
      <c r="D208" s="10"/>
      <c r="M208" s="32"/>
      <c r="N208" s="22"/>
    </row>
    <row r="209">
      <c r="D209" s="10"/>
      <c r="M209" s="32"/>
      <c r="N209" s="22"/>
    </row>
    <row r="210">
      <c r="D210" s="10"/>
      <c r="M210" s="32"/>
      <c r="N210" s="22"/>
    </row>
    <row r="211">
      <c r="D211" s="10"/>
      <c r="M211" s="32"/>
      <c r="N211" s="22"/>
    </row>
    <row r="212">
      <c r="D212" s="10"/>
      <c r="M212" s="32"/>
      <c r="N212" s="22"/>
    </row>
    <row r="213">
      <c r="D213" s="10"/>
      <c r="M213" s="32"/>
      <c r="N213" s="22"/>
    </row>
    <row r="214">
      <c r="D214" s="10"/>
      <c r="M214" s="32"/>
      <c r="N214" s="22"/>
    </row>
    <row r="215">
      <c r="D215" s="10"/>
      <c r="M215" s="32"/>
      <c r="N215" s="22"/>
    </row>
    <row r="216">
      <c r="D216" s="10"/>
      <c r="M216" s="32"/>
      <c r="N216" s="22"/>
    </row>
    <row r="217">
      <c r="D217" s="10"/>
      <c r="M217" s="32"/>
      <c r="N217" s="22"/>
    </row>
    <row r="218">
      <c r="D218" s="10"/>
      <c r="M218" s="32"/>
      <c r="N218" s="22"/>
    </row>
    <row r="219">
      <c r="D219" s="10"/>
      <c r="M219" s="32"/>
      <c r="N219" s="22"/>
    </row>
    <row r="220">
      <c r="D220" s="10"/>
      <c r="M220" s="32"/>
      <c r="N220" s="22"/>
    </row>
    <row r="221">
      <c r="D221" s="10"/>
      <c r="M221" s="32"/>
      <c r="N221" s="22"/>
    </row>
    <row r="222">
      <c r="D222" s="10"/>
      <c r="M222" s="32"/>
      <c r="N222" s="22"/>
    </row>
    <row r="223">
      <c r="D223" s="10"/>
      <c r="M223" s="32"/>
      <c r="N223" s="22"/>
    </row>
    <row r="224">
      <c r="D224" s="10"/>
      <c r="M224" s="32"/>
      <c r="N224" s="22"/>
    </row>
    <row r="225">
      <c r="D225" s="10"/>
      <c r="M225" s="32"/>
      <c r="N225" s="22"/>
    </row>
    <row r="226">
      <c r="D226" s="10"/>
      <c r="M226" s="32"/>
      <c r="N226" s="22"/>
    </row>
    <row r="227">
      <c r="D227" s="10"/>
      <c r="M227" s="32"/>
      <c r="N227" s="22"/>
    </row>
    <row r="228">
      <c r="D228" s="10"/>
      <c r="M228" s="32"/>
      <c r="N228" s="22"/>
    </row>
    <row r="229">
      <c r="D229" s="10"/>
      <c r="M229" s="32"/>
      <c r="N229" s="22"/>
    </row>
    <row r="230">
      <c r="D230" s="10"/>
      <c r="M230" s="32"/>
      <c r="N230" s="22"/>
    </row>
    <row r="231">
      <c r="D231" s="10"/>
      <c r="M231" s="32"/>
      <c r="N231" s="22"/>
    </row>
    <row r="232">
      <c r="D232" s="10"/>
      <c r="M232" s="32"/>
      <c r="N232" s="22"/>
    </row>
    <row r="233">
      <c r="D233" s="10"/>
      <c r="M233" s="32"/>
      <c r="N233" s="22"/>
    </row>
    <row r="234">
      <c r="D234" s="10"/>
      <c r="M234" s="32"/>
      <c r="N234" s="22"/>
    </row>
    <row r="235">
      <c r="D235" s="10"/>
      <c r="M235" s="32"/>
      <c r="N235" s="22"/>
    </row>
    <row r="236">
      <c r="D236" s="10"/>
      <c r="M236" s="32"/>
      <c r="N236" s="22"/>
    </row>
    <row r="237">
      <c r="D237" s="10"/>
      <c r="M237" s="32"/>
      <c r="N237" s="22"/>
    </row>
    <row r="238">
      <c r="D238" s="10"/>
      <c r="M238" s="32"/>
      <c r="N238" s="22"/>
    </row>
    <row r="239">
      <c r="D239" s="10"/>
      <c r="M239" s="32"/>
      <c r="N239" s="22"/>
    </row>
    <row r="240">
      <c r="D240" s="10"/>
      <c r="M240" s="32"/>
      <c r="N240" s="22"/>
    </row>
    <row r="241">
      <c r="D241" s="10"/>
      <c r="M241" s="32"/>
      <c r="N241" s="22"/>
    </row>
    <row r="242">
      <c r="D242" s="10"/>
      <c r="M242" s="32"/>
      <c r="N242" s="22"/>
    </row>
    <row r="243">
      <c r="D243" s="10"/>
      <c r="M243" s="32"/>
      <c r="N243" s="22"/>
    </row>
    <row r="244">
      <c r="D244" s="10"/>
      <c r="M244" s="32"/>
      <c r="N244" s="22"/>
    </row>
    <row r="245">
      <c r="D245" s="10"/>
      <c r="M245" s="32"/>
      <c r="N245" s="22"/>
    </row>
    <row r="246">
      <c r="D246" s="10"/>
      <c r="M246" s="32"/>
      <c r="N246" s="22"/>
    </row>
    <row r="247">
      <c r="D247" s="10"/>
      <c r="M247" s="32"/>
      <c r="N247" s="22"/>
    </row>
    <row r="248">
      <c r="D248" s="10"/>
      <c r="M248" s="32"/>
      <c r="N248" s="22"/>
    </row>
    <row r="249">
      <c r="D249" s="10"/>
      <c r="M249" s="32"/>
      <c r="N249" s="22"/>
    </row>
    <row r="250">
      <c r="D250" s="10"/>
      <c r="M250" s="32"/>
      <c r="N250" s="22"/>
    </row>
    <row r="251">
      <c r="D251" s="10"/>
      <c r="M251" s="32"/>
      <c r="N251" s="22"/>
    </row>
    <row r="252">
      <c r="D252" s="10"/>
      <c r="M252" s="32"/>
      <c r="N252" s="22"/>
    </row>
    <row r="253">
      <c r="D253" s="10"/>
      <c r="M253" s="32"/>
      <c r="N253" s="22"/>
    </row>
    <row r="254">
      <c r="D254" s="10"/>
      <c r="M254" s="32"/>
      <c r="N254" s="22"/>
    </row>
    <row r="255">
      <c r="D255" s="10"/>
      <c r="M255" s="32"/>
      <c r="N255" s="22"/>
    </row>
    <row r="256">
      <c r="D256" s="10"/>
      <c r="M256" s="32"/>
      <c r="N256" s="22"/>
    </row>
    <row r="257">
      <c r="D257" s="10"/>
      <c r="M257" s="32"/>
      <c r="N257" s="22"/>
    </row>
    <row r="258">
      <c r="D258" s="10"/>
      <c r="M258" s="32"/>
      <c r="N258" s="22"/>
    </row>
    <row r="259">
      <c r="D259" s="10"/>
      <c r="M259" s="32"/>
      <c r="N259" s="22"/>
    </row>
    <row r="260">
      <c r="D260" s="10"/>
      <c r="M260" s="32"/>
      <c r="N260" s="22"/>
    </row>
    <row r="261">
      <c r="D261" s="10"/>
      <c r="M261" s="32"/>
      <c r="N261" s="22"/>
    </row>
    <row r="262">
      <c r="D262" s="10"/>
      <c r="M262" s="32"/>
      <c r="N262" s="22"/>
    </row>
    <row r="263">
      <c r="D263" s="10"/>
      <c r="M263" s="32"/>
      <c r="N263" s="22"/>
    </row>
    <row r="264">
      <c r="D264" s="10"/>
      <c r="M264" s="32"/>
      <c r="N264" s="22"/>
    </row>
    <row r="265">
      <c r="D265" s="10"/>
      <c r="M265" s="32"/>
      <c r="N265" s="22"/>
    </row>
    <row r="266">
      <c r="D266" s="10"/>
      <c r="M266" s="32"/>
      <c r="N266" s="22"/>
    </row>
    <row r="267">
      <c r="D267" s="10"/>
      <c r="M267" s="32"/>
      <c r="N267" s="22"/>
    </row>
    <row r="268">
      <c r="D268" s="10"/>
      <c r="M268" s="32"/>
      <c r="N268" s="22"/>
    </row>
    <row r="269">
      <c r="D269" s="10"/>
      <c r="M269" s="32"/>
      <c r="N269" s="22"/>
    </row>
    <row r="270">
      <c r="D270" s="10"/>
      <c r="M270" s="32"/>
      <c r="N270" s="22"/>
    </row>
    <row r="271">
      <c r="D271" s="10"/>
      <c r="M271" s="32"/>
      <c r="N271" s="22"/>
    </row>
    <row r="272">
      <c r="D272" s="10"/>
      <c r="M272" s="32"/>
      <c r="N272" s="22"/>
    </row>
    <row r="273">
      <c r="D273" s="10"/>
      <c r="M273" s="32"/>
      <c r="N273" s="22"/>
    </row>
    <row r="274">
      <c r="D274" s="10"/>
      <c r="M274" s="32"/>
      <c r="N274" s="22"/>
    </row>
    <row r="275">
      <c r="D275" s="10"/>
      <c r="M275" s="32"/>
      <c r="N275" s="22"/>
    </row>
    <row r="276">
      <c r="D276" s="10"/>
      <c r="M276" s="32"/>
      <c r="N276" s="22"/>
    </row>
    <row r="277">
      <c r="D277" s="10"/>
      <c r="M277" s="32"/>
      <c r="N277" s="22"/>
    </row>
    <row r="278">
      <c r="D278" s="10"/>
      <c r="M278" s="32"/>
      <c r="N278" s="22"/>
    </row>
    <row r="279">
      <c r="D279" s="10"/>
      <c r="M279" s="32"/>
      <c r="N279" s="22"/>
    </row>
    <row r="280">
      <c r="D280" s="10"/>
      <c r="M280" s="32"/>
      <c r="N280" s="22"/>
    </row>
    <row r="281">
      <c r="D281" s="10"/>
      <c r="M281" s="32"/>
      <c r="N281" s="22"/>
    </row>
    <row r="282">
      <c r="D282" s="10"/>
      <c r="M282" s="32"/>
      <c r="N282" s="22"/>
    </row>
    <row r="283">
      <c r="D283" s="10"/>
      <c r="M283" s="32"/>
      <c r="N283" s="22"/>
    </row>
    <row r="284">
      <c r="D284" s="10"/>
      <c r="M284" s="32"/>
      <c r="N284" s="22"/>
    </row>
    <row r="285">
      <c r="D285" s="10"/>
      <c r="M285" s="32"/>
      <c r="N285" s="22"/>
    </row>
    <row r="286">
      <c r="D286" s="10"/>
      <c r="M286" s="32"/>
      <c r="N286" s="22"/>
    </row>
    <row r="287">
      <c r="D287" s="10"/>
      <c r="M287" s="32"/>
      <c r="N287" s="22"/>
    </row>
    <row r="288">
      <c r="D288" s="10"/>
      <c r="M288" s="32"/>
      <c r="N288" s="22"/>
    </row>
    <row r="289">
      <c r="D289" s="10"/>
      <c r="M289" s="32"/>
      <c r="N289" s="22"/>
    </row>
    <row r="290">
      <c r="D290" s="10"/>
      <c r="M290" s="32"/>
      <c r="N290" s="22"/>
    </row>
    <row r="291">
      <c r="D291" s="10"/>
      <c r="M291" s="32"/>
      <c r="N291" s="22"/>
    </row>
    <row r="292">
      <c r="D292" s="10"/>
      <c r="M292" s="32"/>
      <c r="N292" s="22"/>
    </row>
    <row r="293">
      <c r="D293" s="10"/>
      <c r="M293" s="32"/>
      <c r="N293" s="22"/>
    </row>
    <row r="294">
      <c r="D294" s="10"/>
      <c r="M294" s="32"/>
      <c r="N294" s="22"/>
    </row>
    <row r="295">
      <c r="D295" s="10"/>
      <c r="M295" s="32"/>
      <c r="N295" s="22"/>
    </row>
    <row r="296">
      <c r="D296" s="10"/>
      <c r="M296" s="32"/>
      <c r="N296" s="22"/>
    </row>
    <row r="297">
      <c r="D297" s="10"/>
      <c r="M297" s="32"/>
      <c r="N297" s="22"/>
    </row>
    <row r="298">
      <c r="D298" s="10"/>
      <c r="M298" s="32"/>
      <c r="N298" s="22"/>
    </row>
    <row r="299">
      <c r="D299" s="10"/>
      <c r="M299" s="32"/>
      <c r="N299" s="22"/>
    </row>
    <row r="300">
      <c r="D300" s="10"/>
      <c r="M300" s="32"/>
      <c r="N300" s="22"/>
    </row>
    <row r="301">
      <c r="D301" s="10"/>
      <c r="M301" s="32"/>
      <c r="N301" s="22"/>
    </row>
    <row r="302">
      <c r="D302" s="10"/>
      <c r="M302" s="32"/>
      <c r="N302" s="22"/>
    </row>
    <row r="303">
      <c r="D303" s="10"/>
      <c r="M303" s="32"/>
      <c r="N303" s="22"/>
    </row>
    <row r="304">
      <c r="D304" s="10"/>
      <c r="M304" s="32"/>
      <c r="N304" s="22"/>
    </row>
    <row r="305">
      <c r="D305" s="10"/>
      <c r="M305" s="32"/>
      <c r="N305" s="22"/>
    </row>
    <row r="306">
      <c r="D306" s="10"/>
      <c r="M306" s="32"/>
      <c r="N306" s="22"/>
    </row>
    <row r="307">
      <c r="D307" s="10"/>
      <c r="M307" s="32"/>
      <c r="N307" s="22"/>
    </row>
    <row r="308">
      <c r="D308" s="10"/>
      <c r="M308" s="32"/>
      <c r="N308" s="22"/>
    </row>
    <row r="309">
      <c r="D309" s="10"/>
      <c r="M309" s="32"/>
      <c r="N309" s="22"/>
    </row>
    <row r="310">
      <c r="D310" s="10"/>
      <c r="M310" s="32"/>
      <c r="N310" s="22"/>
    </row>
    <row r="311">
      <c r="D311" s="10"/>
      <c r="M311" s="32"/>
      <c r="N311" s="22"/>
    </row>
    <row r="312">
      <c r="D312" s="10"/>
      <c r="M312" s="32"/>
      <c r="N312" s="22"/>
    </row>
    <row r="313">
      <c r="D313" s="10"/>
      <c r="M313" s="32"/>
      <c r="N313" s="22"/>
    </row>
    <row r="314">
      <c r="D314" s="10"/>
      <c r="M314" s="32"/>
      <c r="N314" s="22"/>
    </row>
    <row r="315">
      <c r="D315" s="10"/>
      <c r="M315" s="32"/>
      <c r="N315" s="22"/>
    </row>
    <row r="316">
      <c r="D316" s="10"/>
      <c r="M316" s="32"/>
      <c r="N316" s="22"/>
    </row>
    <row r="317">
      <c r="D317" s="10"/>
      <c r="M317" s="32"/>
      <c r="N317" s="22"/>
    </row>
    <row r="318">
      <c r="D318" s="10"/>
      <c r="M318" s="32"/>
      <c r="N318" s="22"/>
    </row>
    <row r="319">
      <c r="D319" s="10"/>
      <c r="M319" s="32"/>
      <c r="N319" s="22"/>
    </row>
    <row r="320">
      <c r="D320" s="10"/>
      <c r="M320" s="32"/>
      <c r="N320" s="22"/>
    </row>
    <row r="321">
      <c r="D321" s="10"/>
      <c r="M321" s="32"/>
      <c r="N321" s="22"/>
    </row>
    <row r="322">
      <c r="D322" s="10"/>
      <c r="M322" s="32"/>
      <c r="N322" s="22"/>
    </row>
    <row r="323">
      <c r="D323" s="10"/>
      <c r="M323" s="32"/>
      <c r="N323" s="22"/>
    </row>
    <row r="324">
      <c r="D324" s="10"/>
      <c r="M324" s="32"/>
      <c r="N324" s="22"/>
    </row>
    <row r="325">
      <c r="D325" s="10"/>
      <c r="M325" s="32"/>
      <c r="N325" s="22"/>
    </row>
    <row r="326">
      <c r="D326" s="10"/>
      <c r="M326" s="32"/>
      <c r="N326" s="22"/>
    </row>
    <row r="327">
      <c r="D327" s="10"/>
      <c r="M327" s="32"/>
      <c r="N327" s="22"/>
    </row>
    <row r="328">
      <c r="D328" s="10"/>
      <c r="M328" s="32"/>
      <c r="N328" s="22"/>
    </row>
    <row r="329">
      <c r="D329" s="10"/>
      <c r="M329" s="32"/>
      <c r="N329" s="22"/>
    </row>
    <row r="330">
      <c r="D330" s="10"/>
      <c r="M330" s="32"/>
      <c r="N330" s="22"/>
    </row>
    <row r="331">
      <c r="D331" s="10"/>
      <c r="M331" s="32"/>
      <c r="N331" s="22"/>
    </row>
    <row r="332">
      <c r="D332" s="10"/>
      <c r="M332" s="32"/>
      <c r="N332" s="22"/>
    </row>
    <row r="333">
      <c r="D333" s="10"/>
      <c r="M333" s="32"/>
      <c r="N333" s="22"/>
    </row>
    <row r="334">
      <c r="D334" s="10"/>
      <c r="M334" s="32"/>
      <c r="N334" s="22"/>
    </row>
    <row r="335">
      <c r="D335" s="10"/>
      <c r="M335" s="32"/>
      <c r="N335" s="22"/>
    </row>
    <row r="336">
      <c r="D336" s="10"/>
      <c r="M336" s="32"/>
      <c r="N336" s="22"/>
    </row>
    <row r="337">
      <c r="D337" s="10"/>
      <c r="M337" s="32"/>
      <c r="N337" s="22"/>
    </row>
    <row r="338">
      <c r="D338" s="10"/>
      <c r="M338" s="32"/>
      <c r="N338" s="22"/>
    </row>
    <row r="339">
      <c r="D339" s="10"/>
      <c r="M339" s="32"/>
      <c r="N339" s="22"/>
    </row>
    <row r="340">
      <c r="D340" s="10"/>
      <c r="M340" s="32"/>
      <c r="N340" s="22"/>
    </row>
    <row r="341">
      <c r="D341" s="10"/>
      <c r="M341" s="32"/>
      <c r="N341" s="22"/>
    </row>
    <row r="342">
      <c r="D342" s="10"/>
      <c r="M342" s="32"/>
      <c r="N342" s="22"/>
    </row>
    <row r="343">
      <c r="D343" s="10"/>
      <c r="M343" s="32"/>
      <c r="N343" s="22"/>
    </row>
    <row r="344">
      <c r="D344" s="10"/>
      <c r="M344" s="32"/>
      <c r="N344" s="22"/>
    </row>
    <row r="345">
      <c r="D345" s="10"/>
      <c r="M345" s="32"/>
      <c r="N345" s="22"/>
    </row>
    <row r="346">
      <c r="D346" s="10"/>
      <c r="M346" s="32"/>
      <c r="N346" s="22"/>
    </row>
    <row r="347">
      <c r="D347" s="10"/>
      <c r="M347" s="32"/>
      <c r="N347" s="22"/>
    </row>
    <row r="348">
      <c r="D348" s="10"/>
      <c r="M348" s="32"/>
      <c r="N348" s="22"/>
    </row>
    <row r="349">
      <c r="D349" s="10"/>
      <c r="M349" s="32"/>
      <c r="N349" s="22"/>
    </row>
    <row r="350">
      <c r="D350" s="10"/>
      <c r="M350" s="32"/>
      <c r="N350" s="22"/>
    </row>
    <row r="351">
      <c r="D351" s="10"/>
      <c r="M351" s="32"/>
      <c r="N351" s="22"/>
    </row>
    <row r="352">
      <c r="D352" s="10"/>
      <c r="M352" s="32"/>
      <c r="N352" s="22"/>
    </row>
    <row r="353">
      <c r="D353" s="10"/>
      <c r="M353" s="32"/>
      <c r="N353" s="22"/>
    </row>
    <row r="354">
      <c r="D354" s="10"/>
      <c r="M354" s="32"/>
      <c r="N354" s="22"/>
    </row>
    <row r="355">
      <c r="D355" s="10"/>
      <c r="M355" s="32"/>
      <c r="N355" s="22"/>
    </row>
    <row r="356">
      <c r="D356" s="10"/>
      <c r="M356" s="32"/>
      <c r="N356" s="22"/>
    </row>
    <row r="357">
      <c r="D357" s="10"/>
      <c r="M357" s="32"/>
      <c r="N357" s="22"/>
    </row>
    <row r="358">
      <c r="D358" s="10"/>
      <c r="M358" s="32"/>
      <c r="N358" s="22"/>
    </row>
    <row r="359">
      <c r="D359" s="10"/>
      <c r="M359" s="32"/>
      <c r="N359" s="22"/>
    </row>
    <row r="360">
      <c r="D360" s="10"/>
      <c r="M360" s="32"/>
      <c r="N360" s="22"/>
    </row>
    <row r="361">
      <c r="D361" s="10"/>
      <c r="M361" s="32"/>
      <c r="N361" s="22"/>
    </row>
    <row r="362">
      <c r="D362" s="10"/>
      <c r="M362" s="32"/>
      <c r="N362" s="22"/>
    </row>
    <row r="363">
      <c r="D363" s="10"/>
      <c r="M363" s="32"/>
      <c r="N363" s="22"/>
    </row>
    <row r="364">
      <c r="D364" s="10"/>
      <c r="M364" s="32"/>
      <c r="N364" s="22"/>
    </row>
    <row r="365">
      <c r="D365" s="10"/>
      <c r="M365" s="32"/>
      <c r="N365" s="22"/>
    </row>
    <row r="366">
      <c r="D366" s="10"/>
      <c r="M366" s="32"/>
      <c r="N366" s="22"/>
    </row>
    <row r="367">
      <c r="D367" s="10"/>
      <c r="M367" s="32"/>
      <c r="N367" s="22"/>
    </row>
    <row r="368">
      <c r="D368" s="10"/>
      <c r="M368" s="32"/>
      <c r="N368" s="22"/>
    </row>
    <row r="369">
      <c r="D369" s="10"/>
      <c r="M369" s="32"/>
      <c r="N369" s="22"/>
    </row>
    <row r="370">
      <c r="D370" s="10"/>
      <c r="M370" s="32"/>
      <c r="N370" s="22"/>
    </row>
    <row r="371">
      <c r="D371" s="10"/>
      <c r="M371" s="32"/>
      <c r="N371" s="22"/>
    </row>
    <row r="372">
      <c r="D372" s="10"/>
      <c r="M372" s="32"/>
      <c r="N372" s="22"/>
    </row>
    <row r="373">
      <c r="D373" s="10"/>
      <c r="M373" s="32"/>
      <c r="N373" s="22"/>
    </row>
    <row r="374">
      <c r="D374" s="10"/>
      <c r="M374" s="32"/>
      <c r="N374" s="22"/>
    </row>
    <row r="375">
      <c r="D375" s="10"/>
      <c r="M375" s="32"/>
      <c r="N375" s="22"/>
    </row>
    <row r="376">
      <c r="D376" s="10"/>
      <c r="M376" s="32"/>
      <c r="N376" s="22"/>
    </row>
    <row r="377">
      <c r="D377" s="10"/>
      <c r="M377" s="32"/>
      <c r="N377" s="22"/>
    </row>
    <row r="378">
      <c r="D378" s="10"/>
      <c r="M378" s="32"/>
      <c r="N378" s="22"/>
    </row>
    <row r="379">
      <c r="D379" s="10"/>
      <c r="M379" s="32"/>
      <c r="N379" s="22"/>
    </row>
    <row r="380">
      <c r="D380" s="10"/>
      <c r="M380" s="32"/>
      <c r="N380" s="22"/>
    </row>
    <row r="381">
      <c r="D381" s="10"/>
      <c r="M381" s="32"/>
      <c r="N381" s="22"/>
    </row>
    <row r="382">
      <c r="D382" s="10"/>
      <c r="M382" s="32"/>
      <c r="N382" s="22"/>
    </row>
    <row r="383">
      <c r="D383" s="10"/>
      <c r="M383" s="32"/>
      <c r="N383" s="22"/>
    </row>
    <row r="384">
      <c r="D384" s="10"/>
      <c r="M384" s="32"/>
      <c r="N384" s="22"/>
    </row>
    <row r="385">
      <c r="D385" s="10"/>
      <c r="M385" s="32"/>
      <c r="N385" s="22"/>
    </row>
    <row r="386">
      <c r="D386" s="10"/>
      <c r="M386" s="32"/>
      <c r="N386" s="22"/>
    </row>
    <row r="387">
      <c r="D387" s="10"/>
      <c r="M387" s="32"/>
      <c r="N387" s="22"/>
    </row>
    <row r="388">
      <c r="D388" s="10"/>
      <c r="M388" s="32"/>
      <c r="N388" s="22"/>
    </row>
    <row r="389">
      <c r="D389" s="10"/>
      <c r="M389" s="32"/>
      <c r="N389" s="22"/>
    </row>
    <row r="390">
      <c r="D390" s="10"/>
      <c r="M390" s="32"/>
      <c r="N390" s="22"/>
    </row>
    <row r="391">
      <c r="D391" s="10"/>
      <c r="M391" s="32"/>
      <c r="N391" s="22"/>
    </row>
    <row r="392">
      <c r="D392" s="10"/>
      <c r="M392" s="32"/>
      <c r="N392" s="22"/>
    </row>
    <row r="393">
      <c r="D393" s="10"/>
      <c r="M393" s="32"/>
      <c r="N393" s="22"/>
    </row>
    <row r="394">
      <c r="D394" s="10"/>
      <c r="M394" s="32"/>
      <c r="N394" s="22"/>
    </row>
    <row r="395">
      <c r="D395" s="10"/>
      <c r="M395" s="32"/>
      <c r="N395" s="22"/>
    </row>
    <row r="396">
      <c r="D396" s="10"/>
      <c r="M396" s="32"/>
      <c r="N396" s="22"/>
    </row>
    <row r="397">
      <c r="D397" s="10"/>
      <c r="M397" s="32"/>
      <c r="N397" s="22"/>
    </row>
    <row r="398">
      <c r="D398" s="10"/>
      <c r="M398" s="32"/>
      <c r="N398" s="22"/>
    </row>
    <row r="399">
      <c r="D399" s="10"/>
      <c r="M399" s="32"/>
      <c r="N399" s="22"/>
    </row>
    <row r="400">
      <c r="D400" s="10"/>
      <c r="M400" s="32"/>
      <c r="N400" s="22"/>
    </row>
    <row r="401">
      <c r="D401" s="10"/>
      <c r="M401" s="32"/>
      <c r="N401" s="22"/>
    </row>
    <row r="402">
      <c r="D402" s="10"/>
      <c r="M402" s="32"/>
      <c r="N402" s="22"/>
    </row>
    <row r="403">
      <c r="D403" s="10"/>
      <c r="M403" s="32"/>
      <c r="N403" s="22"/>
    </row>
    <row r="404">
      <c r="D404" s="10"/>
      <c r="M404" s="32"/>
      <c r="N404" s="22"/>
    </row>
    <row r="405">
      <c r="D405" s="10"/>
      <c r="M405" s="32"/>
      <c r="N405" s="22"/>
    </row>
    <row r="406">
      <c r="D406" s="10"/>
      <c r="M406" s="32"/>
      <c r="N406" s="22"/>
    </row>
    <row r="407">
      <c r="D407" s="10"/>
      <c r="M407" s="32"/>
      <c r="N407" s="22"/>
    </row>
    <row r="408">
      <c r="D408" s="10"/>
      <c r="M408" s="32"/>
      <c r="N408" s="22"/>
    </row>
    <row r="409">
      <c r="D409" s="10"/>
      <c r="M409" s="32"/>
      <c r="N409" s="22"/>
    </row>
    <row r="410">
      <c r="D410" s="10"/>
      <c r="M410" s="32"/>
      <c r="N410" s="22"/>
    </row>
    <row r="411">
      <c r="D411" s="10"/>
      <c r="M411" s="32"/>
      <c r="N411" s="22"/>
    </row>
    <row r="412">
      <c r="D412" s="10"/>
      <c r="M412" s="32"/>
      <c r="N412" s="22"/>
    </row>
    <row r="413">
      <c r="D413" s="10"/>
      <c r="M413" s="32"/>
      <c r="N413" s="22"/>
    </row>
    <row r="414">
      <c r="D414" s="10"/>
      <c r="M414" s="32"/>
      <c r="N414" s="22"/>
    </row>
    <row r="415">
      <c r="D415" s="10"/>
      <c r="M415" s="32"/>
      <c r="N415" s="22"/>
    </row>
    <row r="416">
      <c r="D416" s="10"/>
      <c r="M416" s="32"/>
      <c r="N416" s="22"/>
    </row>
    <row r="417">
      <c r="D417" s="10"/>
      <c r="M417" s="32"/>
      <c r="N417" s="22"/>
    </row>
    <row r="418">
      <c r="D418" s="10"/>
      <c r="M418" s="32"/>
      <c r="N418" s="22"/>
    </row>
    <row r="419">
      <c r="D419" s="10"/>
      <c r="M419" s="32"/>
      <c r="N419" s="22"/>
    </row>
    <row r="420">
      <c r="D420" s="10"/>
      <c r="M420" s="32"/>
      <c r="N420" s="22"/>
    </row>
    <row r="421">
      <c r="D421" s="10"/>
      <c r="M421" s="32"/>
      <c r="N421" s="22"/>
    </row>
    <row r="422">
      <c r="D422" s="10"/>
      <c r="M422" s="32"/>
      <c r="N422" s="22"/>
    </row>
    <row r="423">
      <c r="D423" s="10"/>
      <c r="M423" s="32"/>
      <c r="N423" s="22"/>
    </row>
    <row r="424">
      <c r="D424" s="10"/>
      <c r="M424" s="32"/>
      <c r="N424" s="22"/>
    </row>
    <row r="425">
      <c r="D425" s="10"/>
      <c r="M425" s="32"/>
      <c r="N425" s="22"/>
    </row>
    <row r="426">
      <c r="D426" s="10"/>
      <c r="M426" s="32"/>
      <c r="N426" s="22"/>
    </row>
    <row r="427">
      <c r="D427" s="10"/>
      <c r="M427" s="32"/>
      <c r="N427" s="22"/>
    </row>
    <row r="428">
      <c r="D428" s="10"/>
      <c r="M428" s="32"/>
      <c r="N428" s="22"/>
    </row>
    <row r="429">
      <c r="D429" s="10"/>
      <c r="M429" s="32"/>
      <c r="N429" s="22"/>
    </row>
    <row r="430">
      <c r="D430" s="10"/>
      <c r="M430" s="32"/>
      <c r="N430" s="22"/>
    </row>
    <row r="431">
      <c r="D431" s="10"/>
      <c r="M431" s="32"/>
      <c r="N431" s="22"/>
    </row>
    <row r="432">
      <c r="D432" s="10"/>
      <c r="M432" s="32"/>
      <c r="N432" s="22"/>
    </row>
    <row r="433">
      <c r="D433" s="10"/>
      <c r="M433" s="32"/>
      <c r="N433" s="22"/>
    </row>
    <row r="434">
      <c r="D434" s="10"/>
      <c r="M434" s="32"/>
      <c r="N434" s="22"/>
    </row>
    <row r="435">
      <c r="D435" s="10"/>
      <c r="M435" s="32"/>
      <c r="N435" s="22"/>
    </row>
    <row r="436">
      <c r="D436" s="10"/>
      <c r="M436" s="32"/>
      <c r="N436" s="22"/>
    </row>
    <row r="437">
      <c r="D437" s="10"/>
      <c r="M437" s="32"/>
      <c r="N437" s="22"/>
    </row>
    <row r="438">
      <c r="D438" s="10"/>
      <c r="M438" s="32"/>
      <c r="N438" s="22"/>
    </row>
    <row r="439">
      <c r="D439" s="10"/>
      <c r="M439" s="32"/>
      <c r="N439" s="22"/>
    </row>
    <row r="440">
      <c r="D440" s="10"/>
      <c r="M440" s="32"/>
      <c r="N440" s="22"/>
    </row>
    <row r="441">
      <c r="D441" s="10"/>
      <c r="M441" s="32"/>
      <c r="N441" s="22"/>
    </row>
    <row r="442">
      <c r="D442" s="10"/>
      <c r="M442" s="32"/>
      <c r="N442" s="22"/>
    </row>
    <row r="443">
      <c r="D443" s="10"/>
      <c r="M443" s="32"/>
      <c r="N443" s="22"/>
    </row>
    <row r="444">
      <c r="D444" s="10"/>
      <c r="M444" s="32"/>
      <c r="N444" s="22"/>
    </row>
    <row r="445">
      <c r="D445" s="10"/>
      <c r="M445" s="32"/>
      <c r="N445" s="22"/>
    </row>
    <row r="446">
      <c r="D446" s="10"/>
      <c r="M446" s="32"/>
      <c r="N446" s="22"/>
    </row>
    <row r="447">
      <c r="D447" s="10"/>
      <c r="M447" s="32"/>
      <c r="N447" s="22"/>
    </row>
    <row r="448">
      <c r="D448" s="10"/>
      <c r="M448" s="32"/>
      <c r="N448" s="22"/>
    </row>
    <row r="449">
      <c r="D449" s="10"/>
      <c r="M449" s="32"/>
      <c r="N449" s="22"/>
    </row>
    <row r="450">
      <c r="D450" s="10"/>
      <c r="M450" s="32"/>
      <c r="N450" s="22"/>
    </row>
    <row r="451">
      <c r="D451" s="10"/>
      <c r="M451" s="32"/>
      <c r="N451" s="22"/>
    </row>
    <row r="452">
      <c r="D452" s="10"/>
      <c r="M452" s="32"/>
      <c r="N452" s="22"/>
    </row>
    <row r="453">
      <c r="D453" s="10"/>
      <c r="M453" s="32"/>
      <c r="N453" s="22"/>
    </row>
    <row r="454">
      <c r="D454" s="10"/>
      <c r="M454" s="32"/>
      <c r="N454" s="22"/>
    </row>
    <row r="455">
      <c r="D455" s="10"/>
      <c r="M455" s="32"/>
      <c r="N455" s="22"/>
    </row>
    <row r="456">
      <c r="D456" s="10"/>
      <c r="M456" s="32"/>
      <c r="N456" s="22"/>
    </row>
    <row r="457">
      <c r="D457" s="10"/>
      <c r="M457" s="32"/>
      <c r="N457" s="22"/>
    </row>
    <row r="458">
      <c r="D458" s="10"/>
      <c r="M458" s="32"/>
      <c r="N458" s="22"/>
    </row>
    <row r="459">
      <c r="D459" s="10"/>
      <c r="M459" s="32"/>
      <c r="N459" s="22"/>
    </row>
    <row r="460">
      <c r="D460" s="10"/>
      <c r="M460" s="32"/>
      <c r="N460" s="22"/>
    </row>
    <row r="461">
      <c r="D461" s="10"/>
      <c r="M461" s="32"/>
      <c r="N461" s="22"/>
    </row>
    <row r="462">
      <c r="D462" s="10"/>
      <c r="M462" s="32"/>
      <c r="N462" s="22"/>
    </row>
    <row r="463">
      <c r="D463" s="10"/>
      <c r="M463" s="32"/>
      <c r="N463" s="22"/>
    </row>
    <row r="464">
      <c r="D464" s="10"/>
      <c r="M464" s="32"/>
      <c r="N464" s="22"/>
    </row>
    <row r="465">
      <c r="D465" s="10"/>
      <c r="M465" s="32"/>
      <c r="N465" s="22"/>
    </row>
    <row r="466">
      <c r="D466" s="10"/>
      <c r="M466" s="32"/>
      <c r="N466" s="22"/>
    </row>
    <row r="467">
      <c r="D467" s="10"/>
      <c r="M467" s="32"/>
      <c r="N467" s="22"/>
    </row>
    <row r="468">
      <c r="D468" s="10"/>
      <c r="M468" s="32"/>
      <c r="N468" s="22"/>
    </row>
    <row r="469">
      <c r="D469" s="10"/>
      <c r="M469" s="32"/>
      <c r="N469" s="22"/>
    </row>
    <row r="470">
      <c r="D470" s="10"/>
      <c r="M470" s="32"/>
      <c r="N470" s="22"/>
    </row>
    <row r="471">
      <c r="D471" s="10"/>
      <c r="M471" s="32"/>
      <c r="N471" s="22"/>
    </row>
    <row r="472">
      <c r="D472" s="10"/>
      <c r="M472" s="32"/>
      <c r="N472" s="22"/>
    </row>
    <row r="473">
      <c r="D473" s="10"/>
      <c r="M473" s="32"/>
      <c r="N473" s="22"/>
    </row>
    <row r="474">
      <c r="D474" s="10"/>
      <c r="M474" s="32"/>
      <c r="N474" s="22"/>
    </row>
    <row r="475">
      <c r="D475" s="10"/>
      <c r="M475" s="32"/>
      <c r="N475" s="22"/>
    </row>
    <row r="476">
      <c r="D476" s="10"/>
      <c r="M476" s="32"/>
      <c r="N476" s="22"/>
    </row>
    <row r="477">
      <c r="D477" s="10"/>
      <c r="M477" s="32"/>
      <c r="N477" s="22"/>
    </row>
    <row r="478">
      <c r="D478" s="10"/>
      <c r="M478" s="32"/>
      <c r="N478" s="22"/>
    </row>
    <row r="479">
      <c r="D479" s="10"/>
      <c r="M479" s="32"/>
      <c r="N479" s="22"/>
    </row>
    <row r="480">
      <c r="D480" s="10"/>
      <c r="M480" s="32"/>
      <c r="N480" s="22"/>
    </row>
    <row r="481">
      <c r="D481" s="10"/>
      <c r="M481" s="32"/>
      <c r="N481" s="22"/>
    </row>
    <row r="482">
      <c r="D482" s="10"/>
      <c r="M482" s="32"/>
      <c r="N482" s="22"/>
    </row>
    <row r="483">
      <c r="D483" s="10"/>
      <c r="M483" s="32"/>
      <c r="N483" s="22"/>
    </row>
    <row r="484">
      <c r="D484" s="10"/>
      <c r="M484" s="32"/>
      <c r="N484" s="22"/>
    </row>
    <row r="485">
      <c r="D485" s="10"/>
      <c r="M485" s="32"/>
      <c r="N485" s="22"/>
    </row>
    <row r="486">
      <c r="D486" s="10"/>
      <c r="M486" s="32"/>
      <c r="N486" s="22"/>
    </row>
    <row r="487">
      <c r="D487" s="10"/>
      <c r="M487" s="32"/>
      <c r="N487" s="22"/>
    </row>
    <row r="488">
      <c r="D488" s="10"/>
      <c r="M488" s="32"/>
      <c r="N488" s="22"/>
    </row>
    <row r="489">
      <c r="D489" s="10"/>
      <c r="M489" s="32"/>
      <c r="N489" s="22"/>
    </row>
    <row r="490">
      <c r="D490" s="10"/>
      <c r="M490" s="32"/>
      <c r="N490" s="22"/>
    </row>
    <row r="491">
      <c r="D491" s="10"/>
      <c r="M491" s="32"/>
      <c r="N491" s="22"/>
    </row>
    <row r="492">
      <c r="D492" s="10"/>
      <c r="M492" s="32"/>
      <c r="N492" s="22"/>
    </row>
    <row r="493">
      <c r="D493" s="10"/>
      <c r="M493" s="32"/>
      <c r="N493" s="22"/>
    </row>
    <row r="494">
      <c r="D494" s="10"/>
      <c r="M494" s="32"/>
      <c r="N494" s="22"/>
    </row>
    <row r="495">
      <c r="D495" s="10"/>
      <c r="M495" s="32"/>
      <c r="N495" s="22"/>
    </row>
    <row r="496">
      <c r="D496" s="10"/>
      <c r="M496" s="32"/>
      <c r="N496" s="22"/>
    </row>
    <row r="497">
      <c r="D497" s="10"/>
      <c r="M497" s="32"/>
      <c r="N497" s="22"/>
    </row>
    <row r="498">
      <c r="D498" s="10"/>
      <c r="M498" s="32"/>
      <c r="N498" s="22"/>
    </row>
    <row r="499">
      <c r="D499" s="10"/>
      <c r="M499" s="32"/>
      <c r="N499" s="22"/>
    </row>
    <row r="500">
      <c r="D500" s="10"/>
      <c r="M500" s="32"/>
      <c r="N500" s="22"/>
    </row>
    <row r="501">
      <c r="D501" s="10"/>
      <c r="M501" s="32"/>
      <c r="N501" s="22"/>
    </row>
    <row r="502">
      <c r="D502" s="10"/>
      <c r="M502" s="32"/>
      <c r="N502" s="22"/>
    </row>
    <row r="503">
      <c r="D503" s="10"/>
      <c r="M503" s="32"/>
      <c r="N503" s="22"/>
    </row>
    <row r="504">
      <c r="D504" s="10"/>
      <c r="M504" s="32"/>
      <c r="N504" s="22"/>
    </row>
    <row r="505">
      <c r="D505" s="10"/>
      <c r="M505" s="32"/>
      <c r="N505" s="22"/>
    </row>
    <row r="506">
      <c r="D506" s="10"/>
      <c r="M506" s="32"/>
      <c r="N506" s="22"/>
    </row>
    <row r="507">
      <c r="D507" s="10"/>
      <c r="M507" s="32"/>
      <c r="N507" s="22"/>
    </row>
    <row r="508">
      <c r="D508" s="10"/>
      <c r="M508" s="32"/>
      <c r="N508" s="22"/>
    </row>
    <row r="509">
      <c r="D509" s="10"/>
      <c r="M509" s="32"/>
      <c r="N509" s="22"/>
    </row>
    <row r="510">
      <c r="D510" s="10"/>
      <c r="M510" s="32"/>
      <c r="N510" s="22"/>
    </row>
    <row r="511">
      <c r="D511" s="10"/>
      <c r="M511" s="32"/>
      <c r="N511" s="22"/>
    </row>
    <row r="512">
      <c r="D512" s="10"/>
      <c r="M512" s="32"/>
      <c r="N512" s="22"/>
    </row>
    <row r="513">
      <c r="D513" s="10"/>
      <c r="M513" s="32"/>
      <c r="N513" s="22"/>
    </row>
    <row r="514">
      <c r="D514" s="10"/>
      <c r="M514" s="32"/>
      <c r="N514" s="22"/>
    </row>
    <row r="515">
      <c r="D515" s="10"/>
      <c r="M515" s="32"/>
      <c r="N515" s="22"/>
    </row>
    <row r="516">
      <c r="D516" s="10"/>
      <c r="M516" s="32"/>
      <c r="N516" s="22"/>
    </row>
    <row r="517">
      <c r="D517" s="10"/>
      <c r="M517" s="32"/>
      <c r="N517" s="22"/>
    </row>
    <row r="518">
      <c r="D518" s="10"/>
      <c r="M518" s="32"/>
      <c r="N518" s="22"/>
    </row>
    <row r="519">
      <c r="D519" s="10"/>
      <c r="M519" s="32"/>
      <c r="N519" s="22"/>
    </row>
    <row r="520">
      <c r="D520" s="10"/>
      <c r="M520" s="32"/>
      <c r="N520" s="22"/>
    </row>
    <row r="521">
      <c r="D521" s="10"/>
      <c r="M521" s="32"/>
      <c r="N521" s="22"/>
    </row>
    <row r="522">
      <c r="D522" s="10"/>
      <c r="M522" s="32"/>
      <c r="N522" s="22"/>
    </row>
    <row r="523">
      <c r="D523" s="10"/>
      <c r="M523" s="32"/>
      <c r="N523" s="22"/>
    </row>
    <row r="524">
      <c r="D524" s="10"/>
      <c r="M524" s="32"/>
      <c r="N524" s="22"/>
    </row>
    <row r="525">
      <c r="D525" s="10"/>
      <c r="M525" s="32"/>
      <c r="N525" s="22"/>
    </row>
    <row r="526">
      <c r="D526" s="10"/>
      <c r="M526" s="32"/>
      <c r="N526" s="22"/>
    </row>
    <row r="527">
      <c r="D527" s="10"/>
      <c r="M527" s="32"/>
      <c r="N527" s="22"/>
    </row>
    <row r="528">
      <c r="D528" s="10"/>
      <c r="M528" s="32"/>
      <c r="N528" s="22"/>
    </row>
    <row r="529">
      <c r="D529" s="10"/>
      <c r="M529" s="32"/>
      <c r="N529" s="22"/>
    </row>
    <row r="530">
      <c r="D530" s="10"/>
      <c r="M530" s="32"/>
      <c r="N530" s="22"/>
    </row>
    <row r="531">
      <c r="D531" s="10"/>
      <c r="M531" s="32"/>
      <c r="N531" s="22"/>
    </row>
    <row r="532">
      <c r="D532" s="10"/>
      <c r="M532" s="32"/>
      <c r="N532" s="22"/>
    </row>
    <row r="533">
      <c r="D533" s="10"/>
      <c r="M533" s="32"/>
      <c r="N533" s="22"/>
    </row>
    <row r="534">
      <c r="D534" s="10"/>
      <c r="M534" s="32"/>
      <c r="N534" s="22"/>
    </row>
    <row r="535">
      <c r="D535" s="10"/>
      <c r="M535" s="32"/>
      <c r="N535" s="22"/>
    </row>
    <row r="536">
      <c r="D536" s="10"/>
      <c r="M536" s="32"/>
      <c r="N536" s="22"/>
    </row>
    <row r="537">
      <c r="D537" s="10"/>
      <c r="M537" s="32"/>
      <c r="N537" s="22"/>
    </row>
    <row r="538">
      <c r="D538" s="10"/>
      <c r="M538" s="32"/>
      <c r="N538" s="22"/>
    </row>
    <row r="539">
      <c r="D539" s="10"/>
      <c r="M539" s="32"/>
      <c r="N539" s="22"/>
    </row>
    <row r="540">
      <c r="D540" s="10"/>
      <c r="M540" s="32"/>
      <c r="N540" s="22"/>
    </row>
    <row r="541">
      <c r="D541" s="10"/>
      <c r="M541" s="32"/>
      <c r="N541" s="22"/>
    </row>
    <row r="542">
      <c r="D542" s="10"/>
      <c r="M542" s="32"/>
      <c r="N542" s="22"/>
    </row>
    <row r="543">
      <c r="D543" s="10"/>
      <c r="M543" s="32"/>
      <c r="N543" s="22"/>
    </row>
    <row r="544">
      <c r="D544" s="10"/>
      <c r="M544" s="32"/>
      <c r="N544" s="22"/>
    </row>
    <row r="545">
      <c r="D545" s="10"/>
      <c r="M545" s="32"/>
      <c r="N545" s="22"/>
    </row>
    <row r="546">
      <c r="D546" s="10"/>
      <c r="M546" s="32"/>
      <c r="N546" s="22"/>
    </row>
    <row r="547">
      <c r="D547" s="10"/>
      <c r="M547" s="32"/>
      <c r="N547" s="22"/>
    </row>
    <row r="548">
      <c r="D548" s="10"/>
      <c r="M548" s="32"/>
      <c r="N548" s="22"/>
    </row>
    <row r="549">
      <c r="D549" s="10"/>
      <c r="M549" s="32"/>
      <c r="N549" s="22"/>
    </row>
    <row r="550">
      <c r="D550" s="10"/>
      <c r="M550" s="32"/>
      <c r="N550" s="22"/>
    </row>
    <row r="551">
      <c r="D551" s="10"/>
      <c r="M551" s="32"/>
      <c r="N551" s="22"/>
    </row>
    <row r="552">
      <c r="D552" s="10"/>
      <c r="M552" s="32"/>
      <c r="N552" s="22"/>
    </row>
    <row r="553">
      <c r="D553" s="10"/>
      <c r="M553" s="32"/>
      <c r="N553" s="22"/>
    </row>
    <row r="554">
      <c r="D554" s="10"/>
      <c r="M554" s="32"/>
      <c r="N554" s="22"/>
    </row>
    <row r="555">
      <c r="D555" s="10"/>
      <c r="M555" s="32"/>
      <c r="N555" s="22"/>
    </row>
    <row r="556">
      <c r="D556" s="10"/>
      <c r="M556" s="32"/>
      <c r="N556" s="22"/>
    </row>
    <row r="557">
      <c r="D557" s="10"/>
      <c r="M557" s="32"/>
      <c r="N557" s="22"/>
    </row>
    <row r="558">
      <c r="D558" s="10"/>
      <c r="M558" s="32"/>
      <c r="N558" s="22"/>
    </row>
    <row r="559">
      <c r="D559" s="10"/>
      <c r="M559" s="32"/>
      <c r="N559" s="22"/>
    </row>
    <row r="560">
      <c r="D560" s="10"/>
      <c r="M560" s="32"/>
      <c r="N560" s="22"/>
    </row>
    <row r="561">
      <c r="D561" s="10"/>
      <c r="M561" s="32"/>
      <c r="N561" s="22"/>
    </row>
    <row r="562">
      <c r="D562" s="10"/>
      <c r="M562" s="32"/>
      <c r="N562" s="22"/>
    </row>
    <row r="563">
      <c r="D563" s="10"/>
      <c r="M563" s="32"/>
      <c r="N563" s="22"/>
    </row>
    <row r="564">
      <c r="D564" s="10"/>
      <c r="M564" s="32"/>
      <c r="N564" s="22"/>
    </row>
    <row r="565">
      <c r="D565" s="10"/>
      <c r="M565" s="32"/>
      <c r="N565" s="22"/>
    </row>
    <row r="566">
      <c r="D566" s="10"/>
      <c r="M566" s="32"/>
      <c r="N566" s="22"/>
    </row>
    <row r="567">
      <c r="D567" s="10"/>
      <c r="M567" s="32"/>
      <c r="N567" s="22"/>
    </row>
    <row r="568">
      <c r="D568" s="10"/>
      <c r="M568" s="32"/>
      <c r="N568" s="22"/>
    </row>
    <row r="569">
      <c r="D569" s="10"/>
      <c r="M569" s="32"/>
      <c r="N569" s="22"/>
    </row>
    <row r="570">
      <c r="D570" s="10"/>
      <c r="M570" s="32"/>
      <c r="N570" s="22"/>
    </row>
    <row r="571">
      <c r="D571" s="10"/>
      <c r="M571" s="32"/>
      <c r="N571" s="22"/>
    </row>
    <row r="572">
      <c r="D572" s="10"/>
      <c r="M572" s="32"/>
      <c r="N572" s="22"/>
    </row>
    <row r="573">
      <c r="D573" s="10"/>
      <c r="M573" s="32"/>
      <c r="N573" s="22"/>
    </row>
    <row r="574">
      <c r="D574" s="10"/>
      <c r="M574" s="32"/>
      <c r="N574" s="22"/>
    </row>
    <row r="575">
      <c r="D575" s="10"/>
      <c r="M575" s="32"/>
      <c r="N575" s="22"/>
    </row>
    <row r="576">
      <c r="D576" s="10"/>
      <c r="M576" s="32"/>
      <c r="N576" s="22"/>
    </row>
    <row r="577">
      <c r="D577" s="10"/>
      <c r="M577" s="32"/>
      <c r="N577" s="22"/>
    </row>
    <row r="578">
      <c r="D578" s="10"/>
      <c r="M578" s="32"/>
      <c r="N578" s="22"/>
    </row>
    <row r="579">
      <c r="D579" s="10"/>
      <c r="M579" s="32"/>
      <c r="N579" s="22"/>
    </row>
    <row r="580">
      <c r="D580" s="10"/>
      <c r="M580" s="32"/>
      <c r="N580" s="22"/>
    </row>
    <row r="581">
      <c r="D581" s="10"/>
      <c r="M581" s="32"/>
      <c r="N581" s="22"/>
    </row>
    <row r="582">
      <c r="D582" s="10"/>
      <c r="M582" s="32"/>
      <c r="N582" s="22"/>
    </row>
    <row r="583">
      <c r="D583" s="10"/>
      <c r="M583" s="32"/>
      <c r="N583" s="22"/>
    </row>
    <row r="584">
      <c r="D584" s="10"/>
      <c r="M584" s="32"/>
      <c r="N584" s="22"/>
    </row>
    <row r="585">
      <c r="D585" s="10"/>
      <c r="M585" s="32"/>
      <c r="N585" s="22"/>
    </row>
    <row r="586">
      <c r="D586" s="10"/>
      <c r="M586" s="32"/>
      <c r="N586" s="22"/>
    </row>
    <row r="587">
      <c r="D587" s="10"/>
      <c r="M587" s="32"/>
      <c r="N587" s="22"/>
    </row>
    <row r="588">
      <c r="D588" s="10"/>
      <c r="M588" s="32"/>
      <c r="N588" s="22"/>
    </row>
    <row r="589">
      <c r="D589" s="10"/>
      <c r="M589" s="32"/>
      <c r="N589" s="22"/>
    </row>
    <row r="590">
      <c r="D590" s="10"/>
      <c r="M590" s="32"/>
      <c r="N590" s="22"/>
    </row>
    <row r="591">
      <c r="D591" s="10"/>
      <c r="M591" s="32"/>
      <c r="N591" s="22"/>
    </row>
    <row r="592">
      <c r="D592" s="10"/>
      <c r="M592" s="32"/>
      <c r="N592" s="22"/>
    </row>
    <row r="593">
      <c r="D593" s="10"/>
      <c r="M593" s="32"/>
      <c r="N593" s="22"/>
    </row>
    <row r="594">
      <c r="D594" s="10"/>
      <c r="M594" s="32"/>
      <c r="N594" s="22"/>
    </row>
    <row r="595">
      <c r="D595" s="10"/>
      <c r="M595" s="32"/>
      <c r="N595" s="22"/>
    </row>
    <row r="596">
      <c r="D596" s="10"/>
      <c r="M596" s="32"/>
      <c r="N596" s="22"/>
    </row>
    <row r="597">
      <c r="D597" s="10"/>
      <c r="M597" s="32"/>
      <c r="N597" s="22"/>
    </row>
    <row r="598">
      <c r="D598" s="10"/>
      <c r="M598" s="32"/>
      <c r="N598" s="22"/>
    </row>
    <row r="599">
      <c r="D599" s="10"/>
      <c r="M599" s="32"/>
      <c r="N599" s="22"/>
    </row>
    <row r="600">
      <c r="D600" s="10"/>
      <c r="M600" s="32"/>
      <c r="N600" s="22"/>
    </row>
    <row r="601">
      <c r="D601" s="10"/>
      <c r="M601" s="32"/>
      <c r="N601" s="22"/>
    </row>
    <row r="602">
      <c r="D602" s="10"/>
      <c r="M602" s="32"/>
      <c r="N602" s="22"/>
    </row>
    <row r="603">
      <c r="D603" s="10"/>
      <c r="M603" s="32"/>
      <c r="N603" s="22"/>
    </row>
    <row r="604">
      <c r="D604" s="10"/>
      <c r="M604" s="32"/>
      <c r="N604" s="22"/>
    </row>
    <row r="605">
      <c r="D605" s="10"/>
      <c r="M605" s="32"/>
      <c r="N605" s="22"/>
    </row>
    <row r="606">
      <c r="D606" s="10"/>
      <c r="M606" s="32"/>
      <c r="N606" s="22"/>
    </row>
    <row r="607">
      <c r="D607" s="10"/>
      <c r="M607" s="32"/>
      <c r="N607" s="22"/>
    </row>
    <row r="608">
      <c r="D608" s="10"/>
      <c r="M608" s="32"/>
      <c r="N608" s="22"/>
    </row>
    <row r="609">
      <c r="D609" s="10"/>
      <c r="M609" s="32"/>
      <c r="N609" s="22"/>
    </row>
    <row r="610">
      <c r="D610" s="10"/>
      <c r="M610" s="32"/>
      <c r="N610" s="22"/>
    </row>
    <row r="611">
      <c r="D611" s="10"/>
      <c r="M611" s="32"/>
      <c r="N611" s="22"/>
    </row>
    <row r="612">
      <c r="D612" s="10"/>
      <c r="M612" s="32"/>
      <c r="N612" s="22"/>
    </row>
    <row r="613">
      <c r="D613" s="10"/>
      <c r="M613" s="32"/>
      <c r="N613" s="22"/>
    </row>
    <row r="614">
      <c r="D614" s="10"/>
      <c r="M614" s="32"/>
      <c r="N614" s="22"/>
    </row>
    <row r="615">
      <c r="D615" s="10"/>
      <c r="M615" s="32"/>
      <c r="N615" s="22"/>
    </row>
    <row r="616">
      <c r="D616" s="10"/>
      <c r="M616" s="32"/>
      <c r="N616" s="22"/>
    </row>
    <row r="617">
      <c r="D617" s="10"/>
      <c r="M617" s="32"/>
      <c r="N617" s="22"/>
    </row>
    <row r="618">
      <c r="D618" s="10"/>
      <c r="M618" s="32"/>
      <c r="N618" s="22"/>
    </row>
    <row r="619">
      <c r="D619" s="10"/>
      <c r="M619" s="32"/>
      <c r="N619" s="22"/>
    </row>
    <row r="620">
      <c r="D620" s="10"/>
      <c r="M620" s="32"/>
      <c r="N620" s="22"/>
    </row>
    <row r="621">
      <c r="D621" s="10"/>
      <c r="M621" s="32"/>
      <c r="N621" s="22"/>
    </row>
    <row r="622">
      <c r="D622" s="10"/>
      <c r="M622" s="32"/>
      <c r="N622" s="22"/>
    </row>
    <row r="623">
      <c r="D623" s="10"/>
      <c r="M623" s="32"/>
      <c r="N623" s="22"/>
    </row>
    <row r="624">
      <c r="D624" s="10"/>
      <c r="M624" s="32"/>
      <c r="N624" s="22"/>
    </row>
    <row r="625">
      <c r="D625" s="10"/>
      <c r="M625" s="32"/>
      <c r="N625" s="22"/>
    </row>
    <row r="626">
      <c r="D626" s="10"/>
      <c r="M626" s="32"/>
      <c r="N626" s="22"/>
    </row>
    <row r="627">
      <c r="D627" s="10"/>
      <c r="M627" s="32"/>
      <c r="N627" s="22"/>
    </row>
    <row r="628">
      <c r="D628" s="10"/>
      <c r="M628" s="32"/>
      <c r="N628" s="22"/>
    </row>
    <row r="629">
      <c r="D629" s="10"/>
      <c r="M629" s="32"/>
      <c r="N629" s="22"/>
    </row>
    <row r="630">
      <c r="D630" s="10"/>
      <c r="M630" s="32"/>
      <c r="N630" s="22"/>
    </row>
    <row r="631">
      <c r="D631" s="10"/>
      <c r="M631" s="32"/>
      <c r="N631" s="22"/>
    </row>
    <row r="632">
      <c r="D632" s="10"/>
      <c r="M632" s="32"/>
      <c r="N632" s="22"/>
    </row>
    <row r="633">
      <c r="D633" s="10"/>
      <c r="M633" s="32"/>
      <c r="N633" s="22"/>
    </row>
    <row r="634">
      <c r="D634" s="10"/>
      <c r="M634" s="32"/>
      <c r="N634" s="22"/>
    </row>
    <row r="635">
      <c r="D635" s="10"/>
      <c r="M635" s="32"/>
      <c r="N635" s="22"/>
    </row>
    <row r="636">
      <c r="D636" s="10"/>
      <c r="M636" s="32"/>
      <c r="N636" s="22"/>
    </row>
    <row r="637">
      <c r="D637" s="10"/>
      <c r="M637" s="32"/>
      <c r="N637" s="22"/>
    </row>
    <row r="638">
      <c r="D638" s="10"/>
      <c r="M638" s="32"/>
      <c r="N638" s="22"/>
    </row>
    <row r="639">
      <c r="D639" s="10"/>
      <c r="M639" s="32"/>
      <c r="N639" s="22"/>
    </row>
    <row r="640">
      <c r="D640" s="10"/>
      <c r="M640" s="32"/>
      <c r="N640" s="22"/>
    </row>
    <row r="641">
      <c r="D641" s="10"/>
      <c r="M641" s="32"/>
      <c r="N641" s="22"/>
    </row>
    <row r="642">
      <c r="D642" s="10"/>
      <c r="M642" s="32"/>
      <c r="N642" s="22"/>
    </row>
    <row r="643">
      <c r="D643" s="10"/>
      <c r="M643" s="32"/>
      <c r="N643" s="22"/>
    </row>
    <row r="644">
      <c r="D644" s="10"/>
      <c r="M644" s="32"/>
      <c r="N644" s="22"/>
    </row>
    <row r="645">
      <c r="D645" s="10"/>
      <c r="M645" s="32"/>
      <c r="N645" s="22"/>
    </row>
    <row r="646">
      <c r="D646" s="10"/>
      <c r="M646" s="32"/>
      <c r="N646" s="22"/>
    </row>
    <row r="647">
      <c r="D647" s="10"/>
      <c r="M647" s="32"/>
      <c r="N647" s="22"/>
    </row>
    <row r="648">
      <c r="D648" s="10"/>
      <c r="M648" s="32"/>
      <c r="N648" s="22"/>
    </row>
    <row r="649">
      <c r="D649" s="10"/>
      <c r="M649" s="32"/>
      <c r="N649" s="22"/>
    </row>
    <row r="650">
      <c r="D650" s="10"/>
      <c r="M650" s="32"/>
      <c r="N650" s="22"/>
    </row>
    <row r="651">
      <c r="D651" s="10"/>
      <c r="M651" s="32"/>
      <c r="N651" s="22"/>
    </row>
    <row r="652">
      <c r="D652" s="10"/>
      <c r="M652" s="32"/>
      <c r="N652" s="22"/>
    </row>
    <row r="653">
      <c r="D653" s="10"/>
      <c r="M653" s="32"/>
      <c r="N653" s="22"/>
    </row>
    <row r="654">
      <c r="D654" s="10"/>
      <c r="M654" s="32"/>
      <c r="N654" s="22"/>
    </row>
    <row r="655">
      <c r="D655" s="10"/>
      <c r="M655" s="32"/>
      <c r="N655" s="22"/>
    </row>
    <row r="656">
      <c r="D656" s="10"/>
      <c r="M656" s="32"/>
      <c r="N656" s="22"/>
    </row>
    <row r="657">
      <c r="D657" s="10"/>
      <c r="M657" s="32"/>
      <c r="N657" s="22"/>
    </row>
    <row r="658">
      <c r="D658" s="10"/>
      <c r="M658" s="32"/>
      <c r="N658" s="22"/>
    </row>
    <row r="659">
      <c r="D659" s="10"/>
      <c r="M659" s="32"/>
      <c r="N659" s="22"/>
    </row>
    <row r="660">
      <c r="D660" s="10"/>
      <c r="M660" s="32"/>
      <c r="N660" s="22"/>
    </row>
    <row r="661">
      <c r="D661" s="10"/>
      <c r="M661" s="32"/>
      <c r="N661" s="22"/>
    </row>
    <row r="662">
      <c r="D662" s="10"/>
      <c r="M662" s="32"/>
      <c r="N662" s="22"/>
    </row>
    <row r="663">
      <c r="D663" s="10"/>
      <c r="M663" s="32"/>
      <c r="N663" s="22"/>
    </row>
    <row r="664">
      <c r="D664" s="10"/>
      <c r="M664" s="32"/>
      <c r="N664" s="22"/>
    </row>
    <row r="665">
      <c r="D665" s="10"/>
      <c r="M665" s="32"/>
      <c r="N665" s="22"/>
    </row>
    <row r="666">
      <c r="D666" s="10"/>
      <c r="M666" s="32"/>
      <c r="N666" s="22"/>
    </row>
    <row r="667">
      <c r="D667" s="10"/>
      <c r="M667" s="32"/>
      <c r="N667" s="22"/>
    </row>
    <row r="668">
      <c r="D668" s="10"/>
      <c r="M668" s="32"/>
      <c r="N668" s="22"/>
    </row>
    <row r="669">
      <c r="D669" s="10"/>
      <c r="M669" s="32"/>
      <c r="N669" s="22"/>
    </row>
    <row r="670">
      <c r="D670" s="10"/>
      <c r="M670" s="32"/>
      <c r="N670" s="22"/>
    </row>
    <row r="671">
      <c r="D671" s="10"/>
      <c r="M671" s="32"/>
      <c r="N671" s="22"/>
    </row>
    <row r="672">
      <c r="D672" s="10"/>
      <c r="M672" s="32"/>
      <c r="N672" s="22"/>
    </row>
    <row r="673">
      <c r="D673" s="10"/>
      <c r="M673" s="32"/>
      <c r="N673" s="22"/>
    </row>
    <row r="674">
      <c r="D674" s="10"/>
      <c r="M674" s="32"/>
      <c r="N674" s="22"/>
    </row>
    <row r="675">
      <c r="D675" s="10"/>
      <c r="M675" s="32"/>
      <c r="N675" s="22"/>
    </row>
    <row r="676">
      <c r="D676" s="10"/>
      <c r="M676" s="32"/>
      <c r="N676" s="22"/>
    </row>
    <row r="677">
      <c r="D677" s="10"/>
      <c r="M677" s="32"/>
      <c r="N677" s="22"/>
    </row>
    <row r="678">
      <c r="D678" s="10"/>
      <c r="M678" s="32"/>
      <c r="N678" s="22"/>
    </row>
    <row r="679">
      <c r="D679" s="10"/>
      <c r="M679" s="32"/>
      <c r="N679" s="22"/>
    </row>
    <row r="680">
      <c r="D680" s="10"/>
      <c r="M680" s="32"/>
      <c r="N680" s="22"/>
    </row>
    <row r="681">
      <c r="D681" s="10"/>
      <c r="M681" s="32"/>
      <c r="N681" s="22"/>
    </row>
    <row r="682">
      <c r="D682" s="10"/>
      <c r="M682" s="32"/>
      <c r="N682" s="22"/>
    </row>
    <row r="683">
      <c r="D683" s="10"/>
      <c r="M683" s="32"/>
      <c r="N683" s="22"/>
    </row>
    <row r="684">
      <c r="D684" s="10"/>
      <c r="M684" s="32"/>
      <c r="N684" s="22"/>
    </row>
    <row r="685">
      <c r="D685" s="10"/>
      <c r="M685" s="32"/>
      <c r="N685" s="22"/>
    </row>
    <row r="686">
      <c r="D686" s="10"/>
      <c r="M686" s="32"/>
      <c r="N686" s="22"/>
    </row>
    <row r="687">
      <c r="D687" s="10"/>
      <c r="M687" s="32"/>
      <c r="N687" s="22"/>
    </row>
    <row r="688">
      <c r="D688" s="10"/>
      <c r="M688" s="32"/>
      <c r="N688" s="22"/>
    </row>
    <row r="689">
      <c r="D689" s="10"/>
      <c r="M689" s="32"/>
      <c r="N689" s="22"/>
    </row>
    <row r="690">
      <c r="D690" s="10"/>
      <c r="M690" s="32"/>
      <c r="N690" s="22"/>
    </row>
    <row r="691">
      <c r="D691" s="10"/>
      <c r="M691" s="32"/>
      <c r="N691" s="22"/>
    </row>
    <row r="692">
      <c r="D692" s="10"/>
      <c r="M692" s="32"/>
      <c r="N692" s="22"/>
    </row>
    <row r="693">
      <c r="D693" s="10"/>
      <c r="M693" s="32"/>
      <c r="N693" s="22"/>
    </row>
    <row r="694">
      <c r="D694" s="10"/>
      <c r="M694" s="32"/>
      <c r="N694" s="22"/>
    </row>
    <row r="695">
      <c r="D695" s="10"/>
      <c r="M695" s="32"/>
      <c r="N695" s="22"/>
    </row>
    <row r="696">
      <c r="D696" s="10"/>
      <c r="M696" s="32"/>
      <c r="N696" s="22"/>
    </row>
    <row r="697">
      <c r="D697" s="10"/>
      <c r="M697" s="32"/>
      <c r="N697" s="22"/>
    </row>
    <row r="698">
      <c r="D698" s="10"/>
      <c r="M698" s="32"/>
      <c r="N698" s="22"/>
    </row>
    <row r="699">
      <c r="D699" s="10"/>
      <c r="M699" s="32"/>
      <c r="N699" s="22"/>
    </row>
    <row r="700">
      <c r="D700" s="10"/>
      <c r="M700" s="32"/>
      <c r="N700" s="22"/>
    </row>
    <row r="701">
      <c r="D701" s="10"/>
      <c r="M701" s="32"/>
      <c r="N701" s="22"/>
    </row>
    <row r="702">
      <c r="D702" s="10"/>
      <c r="M702" s="32"/>
      <c r="N702" s="22"/>
    </row>
    <row r="703">
      <c r="D703" s="10"/>
      <c r="M703" s="32"/>
      <c r="N703" s="22"/>
    </row>
    <row r="704">
      <c r="D704" s="10"/>
      <c r="M704" s="32"/>
      <c r="N704" s="22"/>
    </row>
    <row r="705">
      <c r="D705" s="10"/>
      <c r="M705" s="32"/>
      <c r="N705" s="22"/>
    </row>
    <row r="706">
      <c r="D706" s="10"/>
      <c r="M706" s="32"/>
      <c r="N706" s="22"/>
    </row>
    <row r="707">
      <c r="D707" s="10"/>
      <c r="M707" s="32"/>
      <c r="N707" s="22"/>
    </row>
    <row r="708">
      <c r="D708" s="10"/>
      <c r="M708" s="32"/>
      <c r="N708" s="22"/>
    </row>
    <row r="709">
      <c r="D709" s="10"/>
      <c r="M709" s="32"/>
      <c r="N709" s="22"/>
    </row>
    <row r="710">
      <c r="D710" s="10"/>
      <c r="M710" s="32"/>
      <c r="N710" s="22"/>
    </row>
    <row r="711">
      <c r="D711" s="10"/>
      <c r="M711" s="32"/>
      <c r="N711" s="22"/>
    </row>
    <row r="712">
      <c r="D712" s="10"/>
      <c r="M712" s="32"/>
      <c r="N712" s="22"/>
    </row>
    <row r="713">
      <c r="D713" s="10"/>
      <c r="M713" s="32"/>
      <c r="N713" s="22"/>
    </row>
    <row r="714">
      <c r="D714" s="10"/>
      <c r="M714" s="32"/>
      <c r="N714" s="22"/>
    </row>
    <row r="715">
      <c r="D715" s="10"/>
      <c r="M715" s="32"/>
      <c r="N715" s="22"/>
    </row>
    <row r="716">
      <c r="D716" s="10"/>
      <c r="M716" s="32"/>
      <c r="N716" s="22"/>
    </row>
    <row r="717">
      <c r="D717" s="10"/>
      <c r="M717" s="32"/>
      <c r="N717" s="22"/>
    </row>
    <row r="718">
      <c r="D718" s="10"/>
      <c r="M718" s="32"/>
      <c r="N718" s="22"/>
    </row>
    <row r="719">
      <c r="D719" s="10"/>
      <c r="M719" s="32"/>
      <c r="N719" s="22"/>
    </row>
    <row r="720">
      <c r="D720" s="10"/>
      <c r="M720" s="32"/>
      <c r="N720" s="22"/>
    </row>
    <row r="721">
      <c r="D721" s="10"/>
      <c r="M721" s="32"/>
      <c r="N721" s="22"/>
    </row>
    <row r="722">
      <c r="D722" s="10"/>
      <c r="M722" s="32"/>
      <c r="N722" s="22"/>
    </row>
    <row r="723">
      <c r="D723" s="10"/>
      <c r="M723" s="32"/>
      <c r="N723" s="22"/>
    </row>
    <row r="724">
      <c r="D724" s="10"/>
      <c r="M724" s="32"/>
      <c r="N724" s="22"/>
    </row>
    <row r="725">
      <c r="D725" s="10"/>
      <c r="M725" s="32"/>
      <c r="N725" s="22"/>
    </row>
    <row r="726">
      <c r="D726" s="10"/>
      <c r="M726" s="32"/>
      <c r="N726" s="22"/>
    </row>
    <row r="727">
      <c r="D727" s="10"/>
      <c r="M727" s="32"/>
      <c r="N727" s="22"/>
    </row>
    <row r="728">
      <c r="D728" s="10"/>
      <c r="M728" s="32"/>
      <c r="N728" s="22"/>
    </row>
    <row r="729">
      <c r="D729" s="10"/>
      <c r="M729" s="32"/>
      <c r="N729" s="22"/>
    </row>
    <row r="730">
      <c r="D730" s="10"/>
      <c r="M730" s="32"/>
      <c r="N730" s="22"/>
    </row>
    <row r="731">
      <c r="D731" s="10"/>
      <c r="M731" s="32"/>
      <c r="N731" s="22"/>
    </row>
    <row r="732">
      <c r="D732" s="10"/>
      <c r="M732" s="32"/>
      <c r="N732" s="22"/>
    </row>
    <row r="733">
      <c r="D733" s="10"/>
      <c r="M733" s="32"/>
      <c r="N733" s="22"/>
    </row>
    <row r="734">
      <c r="D734" s="10"/>
      <c r="M734" s="32"/>
      <c r="N734" s="22"/>
    </row>
    <row r="735">
      <c r="D735" s="10"/>
      <c r="M735" s="32"/>
      <c r="N735" s="22"/>
    </row>
    <row r="736">
      <c r="D736" s="10"/>
      <c r="M736" s="32"/>
      <c r="N736" s="22"/>
    </row>
    <row r="737">
      <c r="D737" s="10"/>
      <c r="M737" s="32"/>
      <c r="N737" s="22"/>
    </row>
    <row r="738">
      <c r="D738" s="10"/>
      <c r="M738" s="32"/>
      <c r="N738" s="22"/>
    </row>
    <row r="739">
      <c r="D739" s="10"/>
      <c r="M739" s="32"/>
      <c r="N739" s="22"/>
    </row>
    <row r="740">
      <c r="D740" s="10"/>
      <c r="M740" s="32"/>
      <c r="N740" s="22"/>
    </row>
    <row r="741">
      <c r="D741" s="10"/>
      <c r="M741" s="32"/>
      <c r="N741" s="22"/>
    </row>
    <row r="742">
      <c r="D742" s="10"/>
      <c r="M742" s="32"/>
      <c r="N742" s="22"/>
    </row>
    <row r="743">
      <c r="D743" s="10"/>
      <c r="M743" s="32"/>
      <c r="N743" s="22"/>
    </row>
    <row r="744">
      <c r="D744" s="10"/>
      <c r="M744" s="32"/>
      <c r="N744" s="22"/>
    </row>
    <row r="745">
      <c r="D745" s="10"/>
      <c r="M745" s="32"/>
      <c r="N745" s="22"/>
    </row>
    <row r="746">
      <c r="D746" s="10"/>
      <c r="M746" s="32"/>
      <c r="N746" s="22"/>
    </row>
    <row r="747">
      <c r="D747" s="10"/>
      <c r="M747" s="32"/>
      <c r="N747" s="22"/>
    </row>
    <row r="748">
      <c r="D748" s="10"/>
      <c r="M748" s="32"/>
      <c r="N748" s="22"/>
    </row>
    <row r="749">
      <c r="D749" s="10"/>
      <c r="M749" s="32"/>
      <c r="N749" s="22"/>
    </row>
    <row r="750">
      <c r="D750" s="10"/>
      <c r="M750" s="32"/>
      <c r="N750" s="22"/>
    </row>
    <row r="751">
      <c r="D751" s="10"/>
      <c r="M751" s="32"/>
      <c r="N751" s="22"/>
    </row>
    <row r="752">
      <c r="D752" s="10"/>
      <c r="M752" s="32"/>
      <c r="N752" s="22"/>
    </row>
    <row r="753">
      <c r="D753" s="10"/>
      <c r="M753" s="32"/>
      <c r="N753" s="22"/>
    </row>
    <row r="754">
      <c r="D754" s="10"/>
      <c r="M754" s="32"/>
      <c r="N754" s="22"/>
    </row>
    <row r="755">
      <c r="D755" s="10"/>
      <c r="M755" s="32"/>
      <c r="N755" s="22"/>
    </row>
    <row r="756">
      <c r="D756" s="10"/>
      <c r="M756" s="32"/>
      <c r="N756" s="22"/>
    </row>
    <row r="757">
      <c r="D757" s="10"/>
      <c r="M757" s="32"/>
      <c r="N757" s="22"/>
    </row>
    <row r="758">
      <c r="D758" s="10"/>
      <c r="M758" s="32"/>
      <c r="N758" s="22"/>
    </row>
    <row r="759">
      <c r="D759" s="10"/>
      <c r="M759" s="32"/>
      <c r="N759" s="22"/>
    </row>
    <row r="760">
      <c r="D760" s="10"/>
      <c r="M760" s="32"/>
      <c r="N760" s="22"/>
    </row>
    <row r="761">
      <c r="D761" s="10"/>
      <c r="M761" s="32"/>
      <c r="N761" s="22"/>
    </row>
    <row r="762">
      <c r="D762" s="10"/>
      <c r="M762" s="32"/>
      <c r="N762" s="22"/>
    </row>
    <row r="763">
      <c r="D763" s="10"/>
      <c r="M763" s="32"/>
      <c r="N763" s="22"/>
    </row>
    <row r="764">
      <c r="D764" s="10"/>
      <c r="M764" s="32"/>
      <c r="N764" s="22"/>
    </row>
    <row r="765">
      <c r="D765" s="10"/>
      <c r="M765" s="32"/>
      <c r="N765" s="22"/>
    </row>
    <row r="766">
      <c r="D766" s="10"/>
      <c r="M766" s="32"/>
      <c r="N766" s="22"/>
    </row>
    <row r="767">
      <c r="D767" s="10"/>
      <c r="M767" s="32"/>
      <c r="N767" s="22"/>
    </row>
    <row r="768">
      <c r="D768" s="10"/>
      <c r="M768" s="32"/>
      <c r="N768" s="22"/>
    </row>
    <row r="769">
      <c r="D769" s="10"/>
      <c r="M769" s="32"/>
      <c r="N769" s="22"/>
    </row>
    <row r="770">
      <c r="D770" s="10"/>
      <c r="M770" s="32"/>
      <c r="N770" s="22"/>
    </row>
    <row r="771">
      <c r="D771" s="10"/>
      <c r="M771" s="32"/>
      <c r="N771" s="22"/>
    </row>
    <row r="772">
      <c r="D772" s="10"/>
      <c r="M772" s="32"/>
      <c r="N772" s="22"/>
    </row>
    <row r="773">
      <c r="D773" s="10"/>
      <c r="M773" s="32"/>
      <c r="N773" s="22"/>
    </row>
    <row r="774">
      <c r="D774" s="10"/>
      <c r="M774" s="32"/>
      <c r="N774" s="22"/>
    </row>
    <row r="775">
      <c r="D775" s="10"/>
      <c r="M775" s="32"/>
      <c r="N775" s="22"/>
    </row>
    <row r="776">
      <c r="D776" s="10"/>
      <c r="M776" s="32"/>
      <c r="N776" s="22"/>
    </row>
    <row r="777">
      <c r="D777" s="10"/>
      <c r="M777" s="32"/>
      <c r="N777" s="22"/>
    </row>
    <row r="778">
      <c r="D778" s="10"/>
      <c r="M778" s="32"/>
      <c r="N778" s="22"/>
    </row>
    <row r="779">
      <c r="D779" s="10"/>
      <c r="M779" s="32"/>
      <c r="N779" s="22"/>
    </row>
    <row r="780">
      <c r="D780" s="10"/>
      <c r="M780" s="32"/>
      <c r="N780" s="22"/>
    </row>
    <row r="781">
      <c r="D781" s="10"/>
      <c r="M781" s="32"/>
      <c r="N781" s="22"/>
    </row>
    <row r="782">
      <c r="D782" s="10"/>
      <c r="M782" s="32"/>
      <c r="N782" s="22"/>
    </row>
    <row r="783">
      <c r="D783" s="10"/>
      <c r="M783" s="32"/>
      <c r="N783" s="22"/>
    </row>
    <row r="784">
      <c r="D784" s="10"/>
      <c r="M784" s="32"/>
      <c r="N784" s="22"/>
    </row>
    <row r="785">
      <c r="D785" s="10"/>
      <c r="M785" s="32"/>
      <c r="N785" s="22"/>
    </row>
    <row r="786">
      <c r="D786" s="10"/>
      <c r="M786" s="32"/>
      <c r="N786" s="22"/>
    </row>
    <row r="787">
      <c r="D787" s="10"/>
      <c r="M787" s="32"/>
      <c r="N787" s="22"/>
    </row>
    <row r="788">
      <c r="D788" s="10"/>
      <c r="M788" s="32"/>
      <c r="N788" s="22"/>
    </row>
    <row r="789">
      <c r="D789" s="10"/>
      <c r="M789" s="32"/>
      <c r="N789" s="22"/>
    </row>
    <row r="790">
      <c r="D790" s="10"/>
      <c r="M790" s="32"/>
      <c r="N790" s="22"/>
    </row>
    <row r="791">
      <c r="D791" s="10"/>
      <c r="M791" s="32"/>
      <c r="N791" s="22"/>
    </row>
    <row r="792">
      <c r="D792" s="10"/>
      <c r="M792" s="32"/>
      <c r="N792" s="22"/>
    </row>
    <row r="793">
      <c r="D793" s="10"/>
      <c r="M793" s="32"/>
      <c r="N793" s="22"/>
    </row>
    <row r="794">
      <c r="D794" s="10"/>
      <c r="M794" s="32"/>
      <c r="N794" s="22"/>
    </row>
    <row r="795">
      <c r="D795" s="10"/>
      <c r="M795" s="32"/>
      <c r="N795" s="22"/>
    </row>
    <row r="796">
      <c r="D796" s="10"/>
      <c r="M796" s="32"/>
      <c r="N796" s="22"/>
    </row>
    <row r="797">
      <c r="D797" s="10"/>
      <c r="M797" s="32"/>
      <c r="N797" s="22"/>
    </row>
    <row r="798">
      <c r="D798" s="10"/>
      <c r="M798" s="32"/>
      <c r="N798" s="22"/>
    </row>
    <row r="799">
      <c r="D799" s="10"/>
      <c r="M799" s="32"/>
      <c r="N799" s="22"/>
    </row>
    <row r="800">
      <c r="D800" s="10"/>
      <c r="M800" s="32"/>
      <c r="N800" s="22"/>
    </row>
    <row r="801">
      <c r="D801" s="10"/>
      <c r="M801" s="32"/>
      <c r="N801" s="22"/>
    </row>
    <row r="802">
      <c r="D802" s="10"/>
      <c r="M802" s="32"/>
      <c r="N802" s="22"/>
    </row>
    <row r="803">
      <c r="D803" s="10"/>
      <c r="M803" s="32"/>
      <c r="N803" s="22"/>
    </row>
    <row r="804">
      <c r="D804" s="10"/>
      <c r="M804" s="32"/>
      <c r="N804" s="22"/>
    </row>
    <row r="805">
      <c r="D805" s="10"/>
      <c r="M805" s="32"/>
      <c r="N805" s="22"/>
    </row>
    <row r="806">
      <c r="D806" s="10"/>
      <c r="M806" s="32"/>
      <c r="N806" s="22"/>
    </row>
    <row r="807">
      <c r="D807" s="10"/>
      <c r="M807" s="32"/>
      <c r="N807" s="22"/>
    </row>
    <row r="808">
      <c r="D808" s="10"/>
      <c r="M808" s="32"/>
      <c r="N808" s="22"/>
    </row>
    <row r="809">
      <c r="D809" s="10"/>
      <c r="M809" s="32"/>
      <c r="N809" s="22"/>
    </row>
    <row r="810">
      <c r="D810" s="10"/>
      <c r="M810" s="32"/>
      <c r="N810" s="22"/>
    </row>
    <row r="811">
      <c r="D811" s="10"/>
      <c r="M811" s="32"/>
      <c r="N811" s="22"/>
    </row>
    <row r="812">
      <c r="D812" s="10"/>
      <c r="M812" s="32"/>
      <c r="N812" s="22"/>
    </row>
    <row r="813">
      <c r="D813" s="10"/>
      <c r="M813" s="32"/>
      <c r="N813" s="22"/>
    </row>
    <row r="814">
      <c r="D814" s="10"/>
      <c r="M814" s="32"/>
      <c r="N814" s="22"/>
    </row>
    <row r="815">
      <c r="D815" s="10"/>
      <c r="M815" s="32"/>
      <c r="N815" s="22"/>
    </row>
    <row r="816">
      <c r="D816" s="10"/>
      <c r="M816" s="32"/>
      <c r="N816" s="22"/>
    </row>
    <row r="817">
      <c r="D817" s="10"/>
      <c r="M817" s="32"/>
      <c r="N817" s="22"/>
    </row>
    <row r="818">
      <c r="D818" s="10"/>
      <c r="M818" s="32"/>
      <c r="N818" s="22"/>
    </row>
    <row r="819">
      <c r="D819" s="10"/>
      <c r="M819" s="32"/>
      <c r="N819" s="22"/>
    </row>
    <row r="820">
      <c r="D820" s="10"/>
      <c r="M820" s="32"/>
      <c r="N820" s="22"/>
    </row>
    <row r="821">
      <c r="D821" s="10"/>
      <c r="M821" s="32"/>
      <c r="N821" s="22"/>
    </row>
    <row r="822">
      <c r="D822" s="10"/>
      <c r="M822" s="32"/>
      <c r="N822" s="22"/>
    </row>
    <row r="823">
      <c r="D823" s="10"/>
      <c r="M823" s="32"/>
      <c r="N823" s="22"/>
    </row>
    <row r="824">
      <c r="D824" s="10"/>
      <c r="M824" s="32"/>
      <c r="N824" s="22"/>
    </row>
    <row r="825">
      <c r="D825" s="10"/>
      <c r="M825" s="32"/>
      <c r="N825" s="22"/>
    </row>
    <row r="826">
      <c r="D826" s="10"/>
      <c r="M826" s="32"/>
      <c r="N826" s="22"/>
    </row>
    <row r="827">
      <c r="D827" s="10"/>
      <c r="M827" s="32"/>
      <c r="N827" s="22"/>
    </row>
    <row r="828">
      <c r="D828" s="10"/>
      <c r="M828" s="32"/>
      <c r="N828" s="22"/>
    </row>
    <row r="829">
      <c r="D829" s="10"/>
      <c r="M829" s="32"/>
      <c r="N829" s="22"/>
    </row>
    <row r="830">
      <c r="D830" s="10"/>
      <c r="M830" s="32"/>
      <c r="N830" s="22"/>
    </row>
    <row r="831">
      <c r="D831" s="10"/>
      <c r="M831" s="32"/>
      <c r="N831" s="22"/>
    </row>
    <row r="832">
      <c r="D832" s="10"/>
      <c r="M832" s="32"/>
      <c r="N832" s="22"/>
    </row>
    <row r="833">
      <c r="D833" s="10"/>
      <c r="M833" s="32"/>
      <c r="N833" s="22"/>
    </row>
    <row r="834">
      <c r="D834" s="10"/>
      <c r="M834" s="32"/>
      <c r="N834" s="22"/>
    </row>
    <row r="835">
      <c r="D835" s="10"/>
      <c r="M835" s="32"/>
      <c r="N835" s="22"/>
    </row>
    <row r="836">
      <c r="D836" s="10"/>
      <c r="M836" s="32"/>
      <c r="N836" s="22"/>
    </row>
    <row r="837">
      <c r="D837" s="10"/>
      <c r="M837" s="32"/>
      <c r="N837" s="22"/>
    </row>
    <row r="838">
      <c r="D838" s="10"/>
      <c r="M838" s="32"/>
      <c r="N838" s="22"/>
    </row>
    <row r="839">
      <c r="D839" s="10"/>
      <c r="M839" s="32"/>
      <c r="N839" s="22"/>
    </row>
    <row r="840">
      <c r="D840" s="10"/>
      <c r="M840" s="32"/>
      <c r="N840" s="22"/>
    </row>
    <row r="841">
      <c r="D841" s="10"/>
      <c r="M841" s="32"/>
      <c r="N841" s="22"/>
    </row>
    <row r="842">
      <c r="D842" s="10"/>
      <c r="M842" s="32"/>
      <c r="N842" s="22"/>
    </row>
    <row r="843">
      <c r="D843" s="10"/>
      <c r="M843" s="32"/>
      <c r="N843" s="22"/>
    </row>
    <row r="844">
      <c r="D844" s="10"/>
      <c r="M844" s="32"/>
      <c r="N844" s="22"/>
    </row>
    <row r="845">
      <c r="D845" s="10"/>
      <c r="M845" s="32"/>
      <c r="N845" s="22"/>
    </row>
    <row r="846">
      <c r="D846" s="10"/>
      <c r="M846" s="32"/>
      <c r="N846" s="22"/>
    </row>
    <row r="847">
      <c r="D847" s="10"/>
      <c r="M847" s="32"/>
      <c r="N847" s="22"/>
    </row>
    <row r="848">
      <c r="D848" s="10"/>
      <c r="M848" s="32"/>
      <c r="N848" s="22"/>
    </row>
    <row r="849">
      <c r="D849" s="10"/>
      <c r="M849" s="32"/>
      <c r="N849" s="22"/>
    </row>
    <row r="850">
      <c r="D850" s="10"/>
      <c r="M850" s="32"/>
      <c r="N850" s="22"/>
    </row>
    <row r="851">
      <c r="D851" s="10"/>
      <c r="M851" s="32"/>
      <c r="N851" s="22"/>
    </row>
    <row r="852">
      <c r="D852" s="10"/>
      <c r="M852" s="32"/>
      <c r="N852" s="22"/>
    </row>
    <row r="853">
      <c r="D853" s="10"/>
      <c r="M853" s="32"/>
      <c r="N853" s="22"/>
    </row>
    <row r="854">
      <c r="D854" s="10"/>
      <c r="M854" s="32"/>
      <c r="N854" s="22"/>
    </row>
    <row r="855">
      <c r="D855" s="10"/>
      <c r="M855" s="32"/>
      <c r="N855" s="22"/>
    </row>
    <row r="856">
      <c r="D856" s="10"/>
      <c r="M856" s="32"/>
      <c r="N856" s="22"/>
    </row>
    <row r="857">
      <c r="D857" s="10"/>
      <c r="M857" s="32"/>
      <c r="N857" s="22"/>
    </row>
    <row r="858">
      <c r="D858" s="10"/>
      <c r="M858" s="32"/>
      <c r="N858" s="22"/>
    </row>
    <row r="859">
      <c r="D859" s="10"/>
      <c r="M859" s="32"/>
      <c r="N859" s="22"/>
    </row>
    <row r="860">
      <c r="D860" s="10"/>
      <c r="M860" s="32"/>
      <c r="N860" s="22"/>
    </row>
    <row r="861">
      <c r="D861" s="10"/>
      <c r="M861" s="32"/>
      <c r="N861" s="22"/>
    </row>
    <row r="862">
      <c r="D862" s="10"/>
      <c r="M862" s="32"/>
      <c r="N862" s="22"/>
    </row>
    <row r="863">
      <c r="D863" s="10"/>
      <c r="M863" s="32"/>
      <c r="N863" s="22"/>
    </row>
    <row r="864">
      <c r="D864" s="10"/>
      <c r="M864" s="32"/>
      <c r="N864" s="22"/>
    </row>
    <row r="865">
      <c r="D865" s="10"/>
      <c r="M865" s="32"/>
      <c r="N865" s="22"/>
    </row>
    <row r="866">
      <c r="D866" s="10"/>
      <c r="M866" s="32"/>
      <c r="N866" s="22"/>
    </row>
    <row r="867">
      <c r="D867" s="10"/>
      <c r="M867" s="32"/>
      <c r="N867" s="22"/>
    </row>
    <row r="868">
      <c r="D868" s="10"/>
      <c r="M868" s="32"/>
      <c r="N868" s="22"/>
    </row>
    <row r="869">
      <c r="D869" s="10"/>
      <c r="M869" s="32"/>
      <c r="N869" s="22"/>
    </row>
    <row r="870">
      <c r="D870" s="10"/>
      <c r="M870" s="32"/>
      <c r="N870" s="22"/>
    </row>
    <row r="871">
      <c r="D871" s="10"/>
      <c r="M871" s="32"/>
      <c r="N871" s="22"/>
    </row>
    <row r="872">
      <c r="D872" s="10"/>
      <c r="M872" s="32"/>
      <c r="N872" s="22"/>
    </row>
    <row r="873">
      <c r="D873" s="10"/>
      <c r="M873" s="32"/>
      <c r="N873" s="22"/>
    </row>
    <row r="874">
      <c r="D874" s="10"/>
      <c r="M874" s="32"/>
      <c r="N874" s="22"/>
    </row>
    <row r="875">
      <c r="D875" s="10"/>
      <c r="M875" s="32"/>
      <c r="N875" s="22"/>
    </row>
    <row r="876">
      <c r="D876" s="10"/>
      <c r="M876" s="32"/>
      <c r="N876" s="22"/>
    </row>
    <row r="877">
      <c r="D877" s="10"/>
      <c r="M877" s="32"/>
      <c r="N877" s="22"/>
    </row>
    <row r="878">
      <c r="D878" s="10"/>
      <c r="M878" s="32"/>
      <c r="N878" s="22"/>
    </row>
    <row r="879">
      <c r="D879" s="10"/>
      <c r="M879" s="32"/>
      <c r="N879" s="22"/>
    </row>
    <row r="880">
      <c r="D880" s="10"/>
      <c r="M880" s="32"/>
      <c r="N880" s="22"/>
    </row>
    <row r="881">
      <c r="D881" s="10"/>
      <c r="M881" s="32"/>
      <c r="N881" s="22"/>
    </row>
    <row r="882">
      <c r="D882" s="10"/>
      <c r="M882" s="32"/>
      <c r="N882" s="22"/>
    </row>
    <row r="883">
      <c r="D883" s="10"/>
      <c r="M883" s="32"/>
      <c r="N883" s="22"/>
    </row>
    <row r="884">
      <c r="D884" s="10"/>
      <c r="M884" s="32"/>
      <c r="N884" s="22"/>
    </row>
    <row r="885">
      <c r="D885" s="10"/>
      <c r="M885" s="32"/>
      <c r="N885" s="22"/>
    </row>
    <row r="886">
      <c r="D886" s="10"/>
      <c r="M886" s="32"/>
      <c r="N886" s="22"/>
    </row>
    <row r="887">
      <c r="D887" s="10"/>
      <c r="M887" s="32"/>
      <c r="N887" s="22"/>
    </row>
    <row r="888">
      <c r="D888" s="10"/>
      <c r="M888" s="32"/>
      <c r="N888" s="22"/>
    </row>
    <row r="889">
      <c r="D889" s="10"/>
      <c r="M889" s="32"/>
      <c r="N889" s="22"/>
    </row>
    <row r="890">
      <c r="D890" s="10"/>
      <c r="M890" s="32"/>
      <c r="N890" s="22"/>
    </row>
    <row r="891">
      <c r="D891" s="10"/>
      <c r="M891" s="32"/>
      <c r="N891" s="22"/>
    </row>
    <row r="892">
      <c r="D892" s="10"/>
      <c r="M892" s="32"/>
      <c r="N892" s="22"/>
    </row>
    <row r="893">
      <c r="D893" s="10"/>
      <c r="M893" s="32"/>
      <c r="N893" s="22"/>
    </row>
    <row r="894">
      <c r="D894" s="10"/>
      <c r="M894" s="32"/>
      <c r="N894" s="22"/>
    </row>
    <row r="895">
      <c r="D895" s="10"/>
      <c r="M895" s="32"/>
      <c r="N895" s="22"/>
    </row>
    <row r="896">
      <c r="D896" s="10"/>
      <c r="M896" s="32"/>
      <c r="N896" s="22"/>
    </row>
    <row r="897">
      <c r="D897" s="10"/>
      <c r="M897" s="32"/>
      <c r="N897" s="22"/>
    </row>
    <row r="898">
      <c r="D898" s="10"/>
      <c r="M898" s="32"/>
      <c r="N898" s="22"/>
    </row>
    <row r="899">
      <c r="D899" s="10"/>
      <c r="M899" s="32"/>
      <c r="N899" s="22"/>
    </row>
    <row r="900">
      <c r="D900" s="10"/>
      <c r="M900" s="32"/>
      <c r="N900" s="22"/>
    </row>
    <row r="901">
      <c r="D901" s="10"/>
      <c r="M901" s="32"/>
      <c r="N901" s="22"/>
    </row>
    <row r="902">
      <c r="D902" s="10"/>
      <c r="M902" s="32"/>
      <c r="N902" s="22"/>
    </row>
    <row r="903">
      <c r="D903" s="10"/>
      <c r="M903" s="32"/>
      <c r="N903" s="22"/>
    </row>
    <row r="904">
      <c r="D904" s="10"/>
      <c r="M904" s="32"/>
      <c r="N904" s="22"/>
    </row>
    <row r="905">
      <c r="D905" s="10"/>
      <c r="M905" s="32"/>
      <c r="N905" s="22"/>
    </row>
    <row r="906">
      <c r="D906" s="10"/>
      <c r="M906" s="32"/>
      <c r="N906" s="22"/>
    </row>
    <row r="907">
      <c r="D907" s="10"/>
      <c r="M907" s="32"/>
      <c r="N907" s="22"/>
    </row>
    <row r="908">
      <c r="D908" s="10"/>
      <c r="M908" s="32"/>
      <c r="N908" s="22"/>
    </row>
    <row r="909">
      <c r="D909" s="10"/>
      <c r="M909" s="32"/>
      <c r="N909" s="22"/>
    </row>
    <row r="910">
      <c r="D910" s="10"/>
      <c r="M910" s="32"/>
      <c r="N910" s="22"/>
    </row>
    <row r="911">
      <c r="D911" s="10"/>
      <c r="M911" s="32"/>
      <c r="N911" s="22"/>
    </row>
    <row r="912">
      <c r="D912" s="10"/>
      <c r="M912" s="32"/>
      <c r="N912" s="22"/>
    </row>
    <row r="913">
      <c r="D913" s="10"/>
      <c r="M913" s="32"/>
      <c r="N913" s="22"/>
    </row>
    <row r="914">
      <c r="D914" s="10"/>
      <c r="M914" s="32"/>
      <c r="N914" s="22"/>
    </row>
    <row r="915">
      <c r="D915" s="10"/>
      <c r="M915" s="32"/>
      <c r="N915" s="22"/>
    </row>
    <row r="916">
      <c r="D916" s="10"/>
      <c r="M916" s="32"/>
      <c r="N916" s="22"/>
    </row>
    <row r="917">
      <c r="D917" s="10"/>
      <c r="M917" s="32"/>
      <c r="N917" s="22"/>
    </row>
    <row r="918">
      <c r="D918" s="10"/>
      <c r="M918" s="32"/>
      <c r="N918" s="22"/>
    </row>
    <row r="919">
      <c r="D919" s="10"/>
      <c r="M919" s="32"/>
      <c r="N919" s="22"/>
    </row>
    <row r="920">
      <c r="D920" s="10"/>
      <c r="M920" s="32"/>
      <c r="N920" s="22"/>
    </row>
    <row r="921">
      <c r="D921" s="10"/>
      <c r="M921" s="32"/>
      <c r="N921" s="22"/>
    </row>
    <row r="922">
      <c r="D922" s="10"/>
      <c r="M922" s="32"/>
      <c r="N922" s="22"/>
    </row>
    <row r="923">
      <c r="D923" s="10"/>
      <c r="M923" s="32"/>
      <c r="N923" s="22"/>
    </row>
    <row r="924">
      <c r="D924" s="10"/>
      <c r="M924" s="32"/>
      <c r="N924" s="22"/>
    </row>
    <row r="925">
      <c r="D925" s="10"/>
      <c r="M925" s="32"/>
      <c r="N925" s="22"/>
    </row>
    <row r="926">
      <c r="D926" s="10"/>
      <c r="M926" s="32"/>
      <c r="N926" s="22"/>
    </row>
    <row r="927">
      <c r="D927" s="10"/>
      <c r="M927" s="32"/>
      <c r="N927" s="22"/>
    </row>
    <row r="928">
      <c r="D928" s="10"/>
      <c r="M928" s="32"/>
      <c r="N928" s="22"/>
    </row>
    <row r="929">
      <c r="D929" s="10"/>
      <c r="M929" s="32"/>
      <c r="N929" s="22"/>
    </row>
    <row r="930">
      <c r="D930" s="10"/>
      <c r="M930" s="32"/>
      <c r="N930" s="22"/>
    </row>
    <row r="931">
      <c r="D931" s="10"/>
      <c r="M931" s="32"/>
      <c r="N931" s="22"/>
    </row>
    <row r="932">
      <c r="D932" s="10"/>
      <c r="M932" s="32"/>
      <c r="N932" s="22"/>
    </row>
    <row r="933">
      <c r="D933" s="10"/>
      <c r="M933" s="32"/>
      <c r="N933" s="22"/>
    </row>
    <row r="934">
      <c r="D934" s="10"/>
      <c r="M934" s="32"/>
      <c r="N934" s="22"/>
    </row>
    <row r="935">
      <c r="D935" s="10"/>
      <c r="M935" s="32"/>
      <c r="N935" s="22"/>
    </row>
    <row r="936">
      <c r="D936" s="10"/>
      <c r="M936" s="32"/>
      <c r="N936" s="22"/>
    </row>
    <row r="937">
      <c r="D937" s="10"/>
      <c r="M937" s="32"/>
      <c r="N937" s="22"/>
    </row>
    <row r="938">
      <c r="D938" s="10"/>
      <c r="M938" s="32"/>
      <c r="N938" s="22"/>
    </row>
    <row r="939">
      <c r="D939" s="10"/>
      <c r="M939" s="32"/>
      <c r="N939" s="22"/>
    </row>
    <row r="940">
      <c r="D940" s="10"/>
      <c r="M940" s="32"/>
      <c r="N940" s="22"/>
    </row>
    <row r="941">
      <c r="D941" s="10"/>
      <c r="M941" s="32"/>
      <c r="N941" s="22"/>
    </row>
    <row r="942">
      <c r="D942" s="10"/>
      <c r="M942" s="32"/>
      <c r="N942" s="22"/>
    </row>
    <row r="943">
      <c r="D943" s="10"/>
      <c r="M943" s="32"/>
      <c r="N943" s="22"/>
    </row>
    <row r="944">
      <c r="D944" s="10"/>
      <c r="M944" s="32"/>
      <c r="N944" s="22"/>
    </row>
    <row r="945">
      <c r="D945" s="10"/>
      <c r="M945" s="32"/>
      <c r="N945" s="22"/>
    </row>
    <row r="946">
      <c r="D946" s="10"/>
      <c r="M946" s="32"/>
      <c r="N946" s="22"/>
    </row>
    <row r="947">
      <c r="D947" s="10"/>
      <c r="M947" s="32"/>
      <c r="N947" s="22"/>
    </row>
    <row r="948">
      <c r="D948" s="10"/>
      <c r="M948" s="32"/>
      <c r="N948" s="22"/>
    </row>
    <row r="949">
      <c r="D949" s="10"/>
      <c r="M949" s="32"/>
      <c r="N949" s="22"/>
    </row>
    <row r="950">
      <c r="D950" s="10"/>
      <c r="M950" s="32"/>
      <c r="N950" s="22"/>
    </row>
    <row r="951">
      <c r="D951" s="10"/>
      <c r="M951" s="32"/>
      <c r="N951" s="22"/>
    </row>
    <row r="952">
      <c r="D952" s="10"/>
      <c r="M952" s="32"/>
      <c r="N952" s="22"/>
    </row>
    <row r="953">
      <c r="D953" s="10"/>
      <c r="M953" s="32"/>
      <c r="N953" s="22"/>
    </row>
    <row r="954">
      <c r="D954" s="10"/>
      <c r="M954" s="32"/>
      <c r="N954" s="22"/>
    </row>
    <row r="955">
      <c r="D955" s="10"/>
      <c r="M955" s="32"/>
      <c r="N955" s="22"/>
    </row>
    <row r="956">
      <c r="D956" s="10"/>
      <c r="M956" s="32"/>
      <c r="N956" s="22"/>
    </row>
    <row r="957">
      <c r="D957" s="10"/>
      <c r="M957" s="32"/>
      <c r="N957" s="22"/>
    </row>
    <row r="958">
      <c r="D958" s="10"/>
      <c r="M958" s="32"/>
      <c r="N958" s="22"/>
    </row>
    <row r="959">
      <c r="D959" s="10"/>
      <c r="M959" s="32"/>
      <c r="N959" s="22"/>
    </row>
    <row r="960">
      <c r="D960" s="10"/>
      <c r="M960" s="32"/>
      <c r="N960" s="22"/>
    </row>
    <row r="961">
      <c r="D961" s="10"/>
      <c r="M961" s="32"/>
      <c r="N961" s="22"/>
    </row>
    <row r="962">
      <c r="D962" s="10"/>
      <c r="M962" s="32"/>
      <c r="N962" s="22"/>
    </row>
    <row r="963">
      <c r="D963" s="10"/>
      <c r="M963" s="32"/>
      <c r="N963" s="22"/>
    </row>
    <row r="964">
      <c r="D964" s="10"/>
      <c r="M964" s="32"/>
      <c r="N964" s="22"/>
    </row>
    <row r="965">
      <c r="D965" s="10"/>
      <c r="M965" s="32"/>
      <c r="N965" s="22"/>
    </row>
    <row r="966">
      <c r="D966" s="10"/>
      <c r="M966" s="32"/>
      <c r="N966" s="22"/>
    </row>
    <row r="967">
      <c r="D967" s="10"/>
      <c r="M967" s="32"/>
      <c r="N967" s="22"/>
    </row>
    <row r="968">
      <c r="D968" s="10"/>
      <c r="M968" s="32"/>
      <c r="N968" s="22"/>
    </row>
    <row r="969">
      <c r="D969" s="10"/>
      <c r="M969" s="32"/>
      <c r="N969" s="22"/>
    </row>
    <row r="970">
      <c r="D970" s="10"/>
      <c r="M970" s="32"/>
      <c r="N970" s="22"/>
    </row>
    <row r="971">
      <c r="D971" s="10"/>
      <c r="M971" s="32"/>
      <c r="N971" s="22"/>
    </row>
    <row r="972">
      <c r="D972" s="10"/>
      <c r="M972" s="32"/>
      <c r="N972" s="22"/>
    </row>
    <row r="973">
      <c r="D973" s="10"/>
      <c r="M973" s="32"/>
      <c r="N973" s="22"/>
    </row>
    <row r="974">
      <c r="D974" s="10"/>
      <c r="M974" s="32"/>
      <c r="N974" s="22"/>
    </row>
    <row r="975">
      <c r="D975" s="10"/>
      <c r="M975" s="32"/>
      <c r="N975" s="22"/>
    </row>
    <row r="976">
      <c r="D976" s="10"/>
      <c r="M976" s="32"/>
      <c r="N976" s="22"/>
    </row>
    <row r="977">
      <c r="D977" s="10"/>
      <c r="M977" s="32"/>
      <c r="N977" s="22"/>
    </row>
    <row r="978">
      <c r="D978" s="10"/>
      <c r="M978" s="32"/>
      <c r="N978" s="22"/>
    </row>
    <row r="979">
      <c r="D979" s="10"/>
      <c r="M979" s="32"/>
      <c r="N979" s="22"/>
    </row>
    <row r="980">
      <c r="D980" s="10"/>
      <c r="M980" s="32"/>
      <c r="N980" s="22"/>
    </row>
    <row r="981">
      <c r="D981" s="10"/>
      <c r="M981" s="32"/>
      <c r="N981" s="22"/>
    </row>
    <row r="982">
      <c r="D982" s="10"/>
      <c r="M982" s="32"/>
      <c r="N982" s="22"/>
    </row>
    <row r="983">
      <c r="D983" s="10"/>
      <c r="M983" s="32"/>
      <c r="N983" s="22"/>
    </row>
    <row r="984">
      <c r="D984" s="10"/>
      <c r="M984" s="32"/>
      <c r="N984" s="22"/>
    </row>
    <row r="985">
      <c r="D985" s="10"/>
      <c r="M985" s="32"/>
      <c r="N985" s="22"/>
    </row>
    <row r="986">
      <c r="D986" s="10"/>
      <c r="M986" s="32"/>
      <c r="N986" s="22"/>
    </row>
    <row r="987">
      <c r="D987" s="10"/>
      <c r="M987" s="32"/>
      <c r="N987" s="22"/>
    </row>
    <row r="988">
      <c r="D988" s="10"/>
      <c r="M988" s="32"/>
      <c r="N988" s="22"/>
    </row>
    <row r="989">
      <c r="D989" s="10"/>
      <c r="M989" s="32"/>
      <c r="N989" s="22"/>
    </row>
    <row r="990">
      <c r="D990" s="10"/>
      <c r="M990" s="32"/>
      <c r="N990" s="22"/>
    </row>
    <row r="991">
      <c r="D991" s="10"/>
      <c r="M991" s="32"/>
      <c r="N991" s="22"/>
    </row>
    <row r="992">
      <c r="D992" s="10"/>
      <c r="M992" s="32"/>
      <c r="N992" s="22"/>
    </row>
    <row r="993">
      <c r="D993" s="10"/>
      <c r="M993" s="32"/>
      <c r="N993" s="22"/>
    </row>
    <row r="994">
      <c r="D994" s="10"/>
      <c r="M994" s="32"/>
      <c r="N994" s="22"/>
    </row>
    <row r="995">
      <c r="D995" s="10"/>
      <c r="M995" s="32"/>
      <c r="N995" s="22"/>
    </row>
    <row r="996">
      <c r="D996" s="10"/>
      <c r="M996" s="32"/>
      <c r="N996" s="22"/>
    </row>
    <row r="997">
      <c r="D997" s="10"/>
      <c r="M997" s="32"/>
      <c r="N997" s="22"/>
    </row>
    <row r="998">
      <c r="D998" s="10"/>
      <c r="M998" s="32"/>
      <c r="N998" s="22"/>
    </row>
    <row r="999">
      <c r="D999" s="10"/>
      <c r="M999" s="32"/>
      <c r="N999" s="22"/>
    </row>
    <row r="1000">
      <c r="D1000" s="10"/>
      <c r="M1000" s="32"/>
      <c r="N1000" s="22"/>
    </row>
    <row r="1001">
      <c r="D1001" s="10"/>
      <c r="M1001" s="32"/>
      <c r="N1001" s="22"/>
    </row>
  </sheetData>
  <mergeCells count="1">
    <mergeCell ref="M1:N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52.0"/>
    <col customWidth="1" min="5" max="5" width="16.88"/>
    <col customWidth="1" min="6" max="6" width="18.0"/>
    <col customWidth="1" min="8" max="8" width="37.38"/>
  </cols>
  <sheetData>
    <row r="1">
      <c r="A1" s="1" t="s">
        <v>2</v>
      </c>
      <c r="B1" s="4" t="s">
        <v>4</v>
      </c>
      <c r="C1" s="4" t="s">
        <v>7</v>
      </c>
      <c r="D1" s="1" t="s">
        <v>9</v>
      </c>
      <c r="E1" s="1" t="s">
        <v>11</v>
      </c>
      <c r="F1" s="4" t="s">
        <v>14</v>
      </c>
      <c r="H1" s="33" t="s">
        <v>301</v>
      </c>
    </row>
    <row r="2">
      <c r="A2" s="1" t="s">
        <v>302</v>
      </c>
      <c r="B2" s="4" t="s">
        <v>19</v>
      </c>
      <c r="C2" s="4" t="s">
        <v>303</v>
      </c>
      <c r="D2" s="1">
        <v>3.0</v>
      </c>
      <c r="E2" s="1" t="s">
        <v>49</v>
      </c>
      <c r="F2" s="4" t="s">
        <v>304</v>
      </c>
      <c r="H2" s="34"/>
    </row>
    <row r="3">
      <c r="A3" s="1" t="s">
        <v>305</v>
      </c>
      <c r="B3" s="4" t="s">
        <v>43</v>
      </c>
      <c r="C3" s="4" t="s">
        <v>306</v>
      </c>
      <c r="D3" s="1">
        <v>2.0</v>
      </c>
      <c r="E3" s="1" t="s">
        <v>49</v>
      </c>
      <c r="F3" s="4" t="s">
        <v>307</v>
      </c>
    </row>
    <row r="4">
      <c r="A4" s="1" t="s">
        <v>308</v>
      </c>
      <c r="B4" s="4" t="s">
        <v>43</v>
      </c>
      <c r="C4" s="4" t="s">
        <v>309</v>
      </c>
      <c r="D4" s="1">
        <v>2.0</v>
      </c>
      <c r="E4" s="1" t="s">
        <v>49</v>
      </c>
      <c r="F4" s="4" t="s">
        <v>310</v>
      </c>
    </row>
    <row r="5">
      <c r="A5" s="1" t="s">
        <v>311</v>
      </c>
      <c r="B5" s="4" t="s">
        <v>43</v>
      </c>
      <c r="C5" s="4" t="s">
        <v>312</v>
      </c>
      <c r="D5" s="1">
        <v>2.0</v>
      </c>
      <c r="E5" s="1" t="s">
        <v>49</v>
      </c>
      <c r="F5" s="4" t="s">
        <v>313</v>
      </c>
    </row>
    <row r="6">
      <c r="A6" s="1" t="s">
        <v>314</v>
      </c>
      <c r="B6" s="4" t="s">
        <v>43</v>
      </c>
      <c r="C6" s="4" t="s">
        <v>315</v>
      </c>
      <c r="D6" s="1">
        <v>2.0</v>
      </c>
      <c r="E6" s="1" t="s">
        <v>49</v>
      </c>
      <c r="F6" s="4" t="s">
        <v>316</v>
      </c>
    </row>
    <row r="7">
      <c r="A7" s="1" t="s">
        <v>317</v>
      </c>
      <c r="B7" s="4" t="s">
        <v>43</v>
      </c>
      <c r="C7" s="4" t="s">
        <v>318</v>
      </c>
      <c r="D7" s="1">
        <v>2.0</v>
      </c>
      <c r="E7" s="1" t="s">
        <v>49</v>
      </c>
      <c r="F7" s="4" t="s">
        <v>319</v>
      </c>
    </row>
    <row r="8">
      <c r="A8" s="1" t="s">
        <v>320</v>
      </c>
      <c r="B8" s="4" t="s">
        <v>43</v>
      </c>
      <c r="C8" s="4" t="s">
        <v>321</v>
      </c>
      <c r="D8" s="1">
        <v>5.0</v>
      </c>
      <c r="E8" s="1" t="s">
        <v>36</v>
      </c>
      <c r="F8" s="4" t="s">
        <v>322</v>
      </c>
    </row>
    <row r="9">
      <c r="A9" s="1" t="s">
        <v>323</v>
      </c>
      <c r="B9" s="4" t="s">
        <v>43</v>
      </c>
      <c r="C9" s="4" t="s">
        <v>324</v>
      </c>
      <c r="D9" s="1">
        <v>2.0</v>
      </c>
      <c r="E9" s="1" t="s">
        <v>49</v>
      </c>
      <c r="F9" s="4" t="s">
        <v>325</v>
      </c>
    </row>
    <row r="10">
      <c r="A10" s="1" t="s">
        <v>326</v>
      </c>
      <c r="B10" s="4" t="s">
        <v>43</v>
      </c>
      <c r="C10" s="4" t="s">
        <v>327</v>
      </c>
      <c r="D10" s="1">
        <v>2.0</v>
      </c>
      <c r="E10" s="1" t="s">
        <v>49</v>
      </c>
      <c r="F10" s="4" t="s">
        <v>328</v>
      </c>
    </row>
    <row r="11">
      <c r="A11" s="1" t="s">
        <v>329</v>
      </c>
      <c r="B11" s="4" t="s">
        <v>43</v>
      </c>
      <c r="C11" s="4" t="s">
        <v>330</v>
      </c>
      <c r="D11" s="1">
        <v>3.0</v>
      </c>
      <c r="E11" s="1" t="s">
        <v>49</v>
      </c>
      <c r="F11" s="4" t="s">
        <v>331</v>
      </c>
    </row>
    <row r="12">
      <c r="A12" s="1" t="s">
        <v>332</v>
      </c>
      <c r="B12" s="4" t="s">
        <v>43</v>
      </c>
      <c r="C12" s="4" t="s">
        <v>333</v>
      </c>
      <c r="D12" s="1">
        <v>5.0</v>
      </c>
      <c r="E12" s="1" t="s">
        <v>36</v>
      </c>
      <c r="F12" s="4" t="s">
        <v>334</v>
      </c>
    </row>
    <row r="13">
      <c r="A13" s="1" t="s">
        <v>335</v>
      </c>
      <c r="B13" s="4" t="s">
        <v>43</v>
      </c>
      <c r="C13" s="4" t="s">
        <v>336</v>
      </c>
      <c r="D13" s="1">
        <v>2.0</v>
      </c>
      <c r="E13" s="1" t="s">
        <v>49</v>
      </c>
      <c r="F13" s="4" t="s">
        <v>337</v>
      </c>
    </row>
    <row r="14">
      <c r="A14" s="1" t="s">
        <v>338</v>
      </c>
      <c r="B14" s="4" t="s">
        <v>43</v>
      </c>
      <c r="C14" s="4" t="s">
        <v>339</v>
      </c>
      <c r="D14" s="1">
        <v>1.0</v>
      </c>
      <c r="E14" s="1" t="s">
        <v>49</v>
      </c>
      <c r="F14" s="4" t="s">
        <v>340</v>
      </c>
    </row>
    <row r="15">
      <c r="A15" s="1" t="s">
        <v>341</v>
      </c>
      <c r="B15" s="4" t="s">
        <v>43</v>
      </c>
      <c r="C15" s="4" t="s">
        <v>342</v>
      </c>
      <c r="D15" s="1">
        <v>5.0</v>
      </c>
      <c r="E15" s="1" t="s">
        <v>36</v>
      </c>
      <c r="F15" s="4" t="s">
        <v>343</v>
      </c>
    </row>
    <row r="16">
      <c r="A16" s="1" t="s">
        <v>344</v>
      </c>
      <c r="B16" s="4" t="s">
        <v>43</v>
      </c>
      <c r="C16" s="4" t="s">
        <v>345</v>
      </c>
      <c r="D16" s="1">
        <v>5.0</v>
      </c>
      <c r="E16" s="1" t="s">
        <v>36</v>
      </c>
      <c r="F16" s="4" t="s">
        <v>343</v>
      </c>
    </row>
    <row r="17">
      <c r="A17" s="1" t="s">
        <v>346</v>
      </c>
      <c r="B17" s="4" t="s">
        <v>43</v>
      </c>
      <c r="C17" s="4" t="s">
        <v>347</v>
      </c>
      <c r="D17" s="1">
        <v>5.0</v>
      </c>
      <c r="E17" s="1" t="s">
        <v>36</v>
      </c>
      <c r="F17" s="4" t="s">
        <v>343</v>
      </c>
    </row>
    <row r="18">
      <c r="A18" s="1" t="s">
        <v>348</v>
      </c>
      <c r="B18" s="4" t="s">
        <v>43</v>
      </c>
      <c r="C18" s="4" t="s">
        <v>349</v>
      </c>
      <c r="D18" s="1">
        <v>2.0</v>
      </c>
      <c r="E18" s="1" t="s">
        <v>49</v>
      </c>
      <c r="F18" s="4" t="s">
        <v>350</v>
      </c>
    </row>
    <row r="19">
      <c r="A19" s="1" t="s">
        <v>351</v>
      </c>
      <c r="B19" s="4" t="s">
        <v>19</v>
      </c>
      <c r="C19" s="4" t="s">
        <v>352</v>
      </c>
      <c r="D19" s="1">
        <v>5.0</v>
      </c>
      <c r="E19" s="1" t="s">
        <v>36</v>
      </c>
      <c r="F19" s="4" t="s">
        <v>343</v>
      </c>
    </row>
    <row r="20">
      <c r="A20" s="1" t="s">
        <v>353</v>
      </c>
      <c r="B20" s="4" t="s">
        <v>43</v>
      </c>
      <c r="C20" s="4" t="s">
        <v>354</v>
      </c>
      <c r="D20" s="1">
        <v>2.0</v>
      </c>
      <c r="E20" s="1" t="s">
        <v>49</v>
      </c>
      <c r="F20" s="4" t="s">
        <v>355</v>
      </c>
    </row>
    <row r="21">
      <c r="B21" s="10"/>
      <c r="C21" s="10"/>
      <c r="F21" s="10"/>
    </row>
    <row r="22">
      <c r="B22" s="10"/>
      <c r="C22" s="10"/>
      <c r="F22" s="10"/>
    </row>
    <row r="23">
      <c r="B23" s="10"/>
      <c r="C23" s="10"/>
      <c r="F23" s="10"/>
    </row>
    <row r="24">
      <c r="B24" s="10"/>
      <c r="C24" s="10"/>
      <c r="F24" s="10"/>
    </row>
    <row r="25">
      <c r="B25" s="10"/>
      <c r="C25" s="10"/>
      <c r="F25" s="10"/>
    </row>
    <row r="26">
      <c r="B26" s="10"/>
      <c r="C26" s="10"/>
      <c r="F26" s="10"/>
    </row>
    <row r="27">
      <c r="B27" s="10"/>
      <c r="C27" s="10"/>
      <c r="F27" s="10"/>
    </row>
    <row r="28">
      <c r="B28" s="10"/>
      <c r="C28" s="10"/>
      <c r="F28" s="10"/>
    </row>
    <row r="29">
      <c r="B29" s="10"/>
      <c r="C29" s="10"/>
      <c r="F29" s="10"/>
    </row>
    <row r="30">
      <c r="B30" s="10"/>
      <c r="C30" s="10"/>
      <c r="F30" s="10"/>
    </row>
    <row r="31">
      <c r="B31" s="10"/>
      <c r="C31" s="10"/>
      <c r="F31" s="10"/>
    </row>
    <row r="32">
      <c r="B32" s="10"/>
      <c r="C32" s="10"/>
      <c r="F32" s="10"/>
    </row>
    <row r="33">
      <c r="B33" s="10"/>
      <c r="C33" s="10"/>
      <c r="F33" s="10"/>
    </row>
    <row r="34">
      <c r="B34" s="10"/>
      <c r="C34" s="10"/>
      <c r="F34" s="10"/>
    </row>
    <row r="35">
      <c r="B35" s="10"/>
      <c r="C35" s="10"/>
      <c r="F35" s="10"/>
    </row>
    <row r="36">
      <c r="B36" s="10"/>
      <c r="C36" s="10"/>
      <c r="F36" s="10"/>
    </row>
    <row r="37">
      <c r="B37" s="10"/>
      <c r="C37" s="10"/>
      <c r="F37" s="10"/>
    </row>
    <row r="38">
      <c r="B38" s="10"/>
      <c r="C38" s="10"/>
      <c r="F38" s="10"/>
    </row>
    <row r="39">
      <c r="B39" s="10"/>
      <c r="C39" s="10"/>
      <c r="F39" s="10"/>
    </row>
    <row r="40">
      <c r="B40" s="10"/>
      <c r="C40" s="10"/>
      <c r="F40" s="10"/>
    </row>
    <row r="41">
      <c r="B41" s="10"/>
      <c r="C41" s="10"/>
      <c r="F41" s="10"/>
    </row>
    <row r="42">
      <c r="B42" s="10"/>
      <c r="C42" s="10"/>
      <c r="F42" s="10"/>
    </row>
    <row r="43">
      <c r="B43" s="10"/>
      <c r="C43" s="10"/>
      <c r="F43" s="10"/>
    </row>
    <row r="44">
      <c r="B44" s="10"/>
      <c r="C44" s="10"/>
      <c r="F44" s="10"/>
    </row>
    <row r="45">
      <c r="B45" s="10"/>
      <c r="C45" s="10"/>
      <c r="F45" s="10"/>
    </row>
    <row r="46">
      <c r="B46" s="10"/>
      <c r="C46" s="10"/>
      <c r="F46" s="10"/>
    </row>
    <row r="47">
      <c r="B47" s="10"/>
      <c r="C47" s="10"/>
      <c r="F47" s="10"/>
    </row>
    <row r="48">
      <c r="B48" s="10"/>
      <c r="C48" s="10"/>
      <c r="F48" s="10"/>
    </row>
    <row r="49">
      <c r="B49" s="10"/>
      <c r="C49" s="10"/>
      <c r="F49" s="10"/>
    </row>
    <row r="50">
      <c r="B50" s="10"/>
      <c r="C50" s="10"/>
      <c r="F50" s="10"/>
    </row>
    <row r="51">
      <c r="B51" s="10"/>
      <c r="C51" s="10"/>
      <c r="F51" s="10"/>
    </row>
    <row r="52">
      <c r="B52" s="10"/>
      <c r="C52" s="10"/>
      <c r="F52" s="10"/>
    </row>
    <row r="53">
      <c r="B53" s="10"/>
      <c r="C53" s="10"/>
      <c r="F53" s="10"/>
    </row>
    <row r="54">
      <c r="B54" s="10"/>
      <c r="C54" s="10"/>
      <c r="F54" s="10"/>
    </row>
    <row r="55">
      <c r="B55" s="10"/>
      <c r="C55" s="10"/>
      <c r="F55" s="10"/>
    </row>
    <row r="56">
      <c r="B56" s="10"/>
      <c r="C56" s="10"/>
      <c r="F56" s="10"/>
    </row>
    <row r="57">
      <c r="B57" s="10"/>
      <c r="C57" s="10"/>
      <c r="F57" s="10"/>
    </row>
    <row r="58">
      <c r="B58" s="10"/>
      <c r="C58" s="10"/>
      <c r="F58" s="10"/>
    </row>
    <row r="59">
      <c r="B59" s="10"/>
      <c r="C59" s="10"/>
      <c r="F59" s="10"/>
    </row>
    <row r="60">
      <c r="B60" s="10"/>
      <c r="C60" s="10"/>
      <c r="F60" s="10"/>
    </row>
    <row r="61">
      <c r="B61" s="10"/>
      <c r="C61" s="10"/>
      <c r="F61" s="10"/>
    </row>
    <row r="62">
      <c r="B62" s="10"/>
      <c r="C62" s="10"/>
      <c r="F62" s="10"/>
    </row>
    <row r="63">
      <c r="B63" s="10"/>
      <c r="C63" s="10"/>
      <c r="F63" s="10"/>
    </row>
    <row r="64">
      <c r="B64" s="10"/>
      <c r="C64" s="10"/>
      <c r="F64" s="10"/>
    </row>
    <row r="65">
      <c r="B65" s="10"/>
      <c r="C65" s="10"/>
      <c r="F65" s="10"/>
    </row>
    <row r="66">
      <c r="B66" s="10"/>
      <c r="C66" s="10"/>
      <c r="F66" s="10"/>
    </row>
    <row r="67">
      <c r="B67" s="10"/>
      <c r="C67" s="10"/>
      <c r="F67" s="10"/>
    </row>
    <row r="68">
      <c r="B68" s="10"/>
      <c r="C68" s="10"/>
      <c r="F68" s="10"/>
    </row>
    <row r="69">
      <c r="B69" s="10"/>
      <c r="C69" s="10"/>
      <c r="F69" s="10"/>
    </row>
    <row r="70">
      <c r="B70" s="10"/>
      <c r="C70" s="10"/>
      <c r="F70" s="10"/>
    </row>
    <row r="71">
      <c r="B71" s="10"/>
      <c r="C71" s="10"/>
      <c r="F71" s="10"/>
    </row>
    <row r="72">
      <c r="B72" s="10"/>
      <c r="C72" s="10"/>
      <c r="F72" s="10"/>
    </row>
    <row r="73">
      <c r="B73" s="10"/>
      <c r="C73" s="10"/>
      <c r="F73" s="10"/>
    </row>
    <row r="74">
      <c r="B74" s="10"/>
      <c r="C74" s="10"/>
      <c r="F74" s="10"/>
    </row>
    <row r="75">
      <c r="B75" s="10"/>
      <c r="C75" s="10"/>
      <c r="F75" s="10"/>
    </row>
    <row r="76">
      <c r="B76" s="10"/>
      <c r="C76" s="10"/>
      <c r="F76" s="10"/>
    </row>
    <row r="77">
      <c r="B77" s="10"/>
      <c r="C77" s="10"/>
      <c r="F77" s="10"/>
    </row>
    <row r="78">
      <c r="B78" s="10"/>
      <c r="C78" s="10"/>
      <c r="F78" s="10"/>
    </row>
    <row r="79">
      <c r="B79" s="10"/>
      <c r="C79" s="10"/>
      <c r="F79" s="10"/>
    </row>
    <row r="80">
      <c r="B80" s="10"/>
      <c r="C80" s="10"/>
      <c r="F80" s="10"/>
    </row>
    <row r="81">
      <c r="B81" s="10"/>
      <c r="C81" s="10"/>
      <c r="F81" s="10"/>
    </row>
    <row r="82">
      <c r="B82" s="10"/>
      <c r="C82" s="10"/>
      <c r="F82" s="10"/>
    </row>
    <row r="83">
      <c r="B83" s="10"/>
      <c r="C83" s="10"/>
      <c r="F83" s="10"/>
    </row>
    <row r="84">
      <c r="B84" s="10"/>
      <c r="C84" s="10"/>
      <c r="F84" s="10"/>
    </row>
    <row r="85">
      <c r="B85" s="10"/>
      <c r="C85" s="10"/>
      <c r="F85" s="10"/>
    </row>
    <row r="86">
      <c r="B86" s="10"/>
      <c r="C86" s="10"/>
      <c r="F86" s="10"/>
    </row>
    <row r="87">
      <c r="B87" s="10"/>
      <c r="C87" s="10"/>
      <c r="F87" s="10"/>
    </row>
    <row r="88">
      <c r="B88" s="10"/>
      <c r="C88" s="10"/>
      <c r="F88" s="10"/>
    </row>
    <row r="89">
      <c r="B89" s="10"/>
      <c r="C89" s="10"/>
      <c r="F89" s="10"/>
    </row>
    <row r="90">
      <c r="B90" s="10"/>
      <c r="C90" s="10"/>
      <c r="F90" s="10"/>
    </row>
    <row r="91">
      <c r="B91" s="10"/>
      <c r="C91" s="10"/>
      <c r="F91" s="10"/>
    </row>
    <row r="92">
      <c r="B92" s="10"/>
      <c r="C92" s="10"/>
      <c r="F92" s="10"/>
    </row>
    <row r="93">
      <c r="B93" s="10"/>
      <c r="C93" s="10"/>
      <c r="F93" s="10"/>
    </row>
    <row r="94">
      <c r="B94" s="10"/>
      <c r="C94" s="10"/>
      <c r="F94" s="10"/>
    </row>
    <row r="95">
      <c r="B95" s="10"/>
      <c r="C95" s="10"/>
      <c r="F95" s="10"/>
    </row>
    <row r="96">
      <c r="B96" s="10"/>
      <c r="C96" s="10"/>
      <c r="F96" s="10"/>
    </row>
    <row r="97">
      <c r="B97" s="10"/>
      <c r="C97" s="10"/>
      <c r="F97" s="10"/>
    </row>
    <row r="98">
      <c r="B98" s="10"/>
      <c r="C98" s="10"/>
      <c r="F98" s="10"/>
    </row>
    <row r="99">
      <c r="B99" s="10"/>
      <c r="C99" s="10"/>
      <c r="F99" s="10"/>
    </row>
    <row r="100">
      <c r="B100" s="10"/>
      <c r="C100" s="10"/>
      <c r="F100" s="10"/>
    </row>
    <row r="101">
      <c r="B101" s="10"/>
      <c r="C101" s="10"/>
      <c r="F101" s="10"/>
    </row>
    <row r="102">
      <c r="B102" s="10"/>
      <c r="C102" s="10"/>
      <c r="F102" s="10"/>
    </row>
    <row r="103">
      <c r="B103" s="10"/>
      <c r="C103" s="10"/>
      <c r="F103" s="10"/>
    </row>
    <row r="104">
      <c r="B104" s="10"/>
      <c r="C104" s="10"/>
      <c r="F104" s="10"/>
    </row>
    <row r="105">
      <c r="B105" s="10"/>
      <c r="C105" s="10"/>
      <c r="F105" s="10"/>
    </row>
    <row r="106">
      <c r="B106" s="10"/>
      <c r="C106" s="10"/>
      <c r="F106" s="10"/>
    </row>
    <row r="107">
      <c r="B107" s="10"/>
      <c r="C107" s="10"/>
      <c r="F107" s="10"/>
    </row>
    <row r="108">
      <c r="B108" s="10"/>
      <c r="C108" s="10"/>
      <c r="F108" s="10"/>
    </row>
    <row r="109">
      <c r="B109" s="10"/>
      <c r="C109" s="10"/>
      <c r="F109" s="10"/>
    </row>
    <row r="110">
      <c r="B110" s="10"/>
      <c r="C110" s="10"/>
      <c r="F110" s="10"/>
    </row>
    <row r="111">
      <c r="B111" s="10"/>
      <c r="C111" s="10"/>
      <c r="F111" s="10"/>
    </row>
    <row r="112">
      <c r="B112" s="10"/>
      <c r="C112" s="10"/>
      <c r="F112" s="10"/>
    </row>
    <row r="113">
      <c r="B113" s="10"/>
      <c r="C113" s="10"/>
      <c r="F113" s="10"/>
    </row>
    <row r="114">
      <c r="B114" s="10"/>
      <c r="C114" s="10"/>
      <c r="F114" s="10"/>
    </row>
    <row r="115">
      <c r="B115" s="10"/>
      <c r="C115" s="10"/>
      <c r="F115" s="10"/>
    </row>
    <row r="116">
      <c r="B116" s="10"/>
      <c r="C116" s="10"/>
      <c r="F116" s="10"/>
    </row>
    <row r="117">
      <c r="B117" s="10"/>
      <c r="C117" s="10"/>
      <c r="F117" s="10"/>
    </row>
    <row r="118">
      <c r="B118" s="10"/>
      <c r="C118" s="10"/>
      <c r="F118" s="10"/>
    </row>
    <row r="119">
      <c r="B119" s="10"/>
      <c r="C119" s="10"/>
      <c r="F119" s="10"/>
    </row>
    <row r="120">
      <c r="B120" s="10"/>
      <c r="C120" s="10"/>
      <c r="F120" s="10"/>
    </row>
    <row r="121">
      <c r="B121" s="10"/>
      <c r="C121" s="10"/>
      <c r="F121" s="10"/>
    </row>
    <row r="122">
      <c r="B122" s="10"/>
      <c r="C122" s="10"/>
      <c r="F122" s="10"/>
    </row>
    <row r="123">
      <c r="B123" s="10"/>
      <c r="C123" s="10"/>
      <c r="F123" s="10"/>
    </row>
    <row r="124">
      <c r="B124" s="10"/>
      <c r="C124" s="10"/>
      <c r="F124" s="10"/>
    </row>
    <row r="125">
      <c r="B125" s="10"/>
      <c r="C125" s="10"/>
      <c r="F125" s="10"/>
    </row>
    <row r="126">
      <c r="B126" s="10"/>
      <c r="C126" s="10"/>
      <c r="F126" s="10"/>
    </row>
    <row r="127">
      <c r="B127" s="10"/>
      <c r="C127" s="10"/>
      <c r="F127" s="10"/>
    </row>
    <row r="128">
      <c r="B128" s="10"/>
      <c r="C128" s="10"/>
      <c r="F128" s="10"/>
    </row>
    <row r="129">
      <c r="B129" s="10"/>
      <c r="C129" s="10"/>
      <c r="F129" s="10"/>
    </row>
    <row r="130">
      <c r="B130" s="10"/>
      <c r="C130" s="10"/>
      <c r="F130" s="10"/>
    </row>
    <row r="131">
      <c r="B131" s="10"/>
      <c r="C131" s="10"/>
      <c r="F131" s="10"/>
    </row>
    <row r="132">
      <c r="B132" s="10"/>
      <c r="C132" s="10"/>
      <c r="F132" s="10"/>
    </row>
    <row r="133">
      <c r="B133" s="10"/>
      <c r="C133" s="10"/>
      <c r="F133" s="10"/>
    </row>
    <row r="134">
      <c r="B134" s="10"/>
      <c r="C134" s="10"/>
      <c r="F134" s="10"/>
    </row>
    <row r="135">
      <c r="B135" s="10"/>
      <c r="C135" s="10"/>
      <c r="F135" s="10"/>
    </row>
    <row r="136">
      <c r="B136" s="10"/>
      <c r="C136" s="10"/>
      <c r="F136" s="10"/>
    </row>
    <row r="137">
      <c r="B137" s="10"/>
      <c r="C137" s="10"/>
      <c r="F137" s="10"/>
    </row>
    <row r="138">
      <c r="B138" s="10"/>
      <c r="C138" s="10"/>
      <c r="F138" s="10"/>
    </row>
    <row r="139">
      <c r="B139" s="10"/>
      <c r="C139" s="10"/>
      <c r="F139" s="10"/>
    </row>
    <row r="140">
      <c r="B140" s="10"/>
      <c r="C140" s="10"/>
      <c r="F140" s="10"/>
    </row>
    <row r="141">
      <c r="B141" s="10"/>
      <c r="C141" s="10"/>
      <c r="F141" s="10"/>
    </row>
    <row r="142">
      <c r="B142" s="10"/>
      <c r="C142" s="10"/>
      <c r="F142" s="10"/>
    </row>
    <row r="143">
      <c r="B143" s="10"/>
      <c r="C143" s="10"/>
      <c r="F143" s="10"/>
    </row>
    <row r="144">
      <c r="B144" s="10"/>
      <c r="C144" s="10"/>
      <c r="F144" s="10"/>
    </row>
    <row r="145">
      <c r="B145" s="10"/>
      <c r="C145" s="10"/>
      <c r="F145" s="10"/>
    </row>
    <row r="146">
      <c r="B146" s="10"/>
      <c r="C146" s="10"/>
      <c r="F146" s="10"/>
    </row>
    <row r="147">
      <c r="B147" s="10"/>
      <c r="C147" s="10"/>
      <c r="F147" s="10"/>
    </row>
    <row r="148">
      <c r="B148" s="10"/>
      <c r="C148" s="10"/>
      <c r="F148" s="10"/>
    </row>
    <row r="149">
      <c r="B149" s="10"/>
      <c r="C149" s="10"/>
      <c r="F149" s="10"/>
    </row>
    <row r="150">
      <c r="B150" s="10"/>
      <c r="C150" s="10"/>
      <c r="F150" s="10"/>
    </row>
    <row r="151">
      <c r="B151" s="10"/>
      <c r="C151" s="10"/>
      <c r="F151" s="10"/>
    </row>
    <row r="152">
      <c r="B152" s="10"/>
      <c r="C152" s="10"/>
      <c r="F152" s="10"/>
    </row>
    <row r="153">
      <c r="B153" s="10"/>
      <c r="C153" s="10"/>
      <c r="F153" s="10"/>
    </row>
    <row r="154">
      <c r="B154" s="10"/>
      <c r="C154" s="10"/>
      <c r="F154" s="10"/>
    </row>
    <row r="155">
      <c r="B155" s="10"/>
      <c r="C155" s="10"/>
      <c r="F155" s="10"/>
    </row>
    <row r="156">
      <c r="B156" s="10"/>
      <c r="C156" s="10"/>
      <c r="F156" s="10"/>
    </row>
    <row r="157">
      <c r="B157" s="10"/>
      <c r="C157" s="10"/>
      <c r="F157" s="10"/>
    </row>
    <row r="158">
      <c r="B158" s="10"/>
      <c r="C158" s="10"/>
      <c r="F158" s="10"/>
    </row>
    <row r="159">
      <c r="B159" s="10"/>
      <c r="C159" s="10"/>
      <c r="F159" s="10"/>
    </row>
    <row r="160">
      <c r="B160" s="10"/>
      <c r="C160" s="10"/>
      <c r="F160" s="10"/>
    </row>
    <row r="161">
      <c r="B161" s="10"/>
      <c r="C161" s="10"/>
      <c r="F161" s="10"/>
    </row>
    <row r="162">
      <c r="B162" s="10"/>
      <c r="C162" s="10"/>
      <c r="F162" s="10"/>
    </row>
    <row r="163">
      <c r="B163" s="10"/>
      <c r="C163" s="10"/>
      <c r="F163" s="10"/>
    </row>
    <row r="164">
      <c r="B164" s="10"/>
      <c r="C164" s="10"/>
      <c r="F164" s="10"/>
    </row>
    <row r="165">
      <c r="B165" s="10"/>
      <c r="C165" s="10"/>
      <c r="F165" s="10"/>
    </row>
    <row r="166">
      <c r="B166" s="10"/>
      <c r="C166" s="10"/>
      <c r="F166" s="10"/>
    </row>
    <row r="167">
      <c r="B167" s="10"/>
      <c r="C167" s="10"/>
      <c r="F167" s="10"/>
    </row>
    <row r="168">
      <c r="B168" s="10"/>
      <c r="C168" s="10"/>
      <c r="F168" s="10"/>
    </row>
    <row r="169">
      <c r="B169" s="10"/>
      <c r="C169" s="10"/>
      <c r="F169" s="10"/>
    </row>
    <row r="170">
      <c r="B170" s="10"/>
      <c r="C170" s="10"/>
      <c r="F170" s="10"/>
    </row>
    <row r="171">
      <c r="B171" s="10"/>
      <c r="C171" s="10"/>
      <c r="F171" s="10"/>
    </row>
    <row r="172">
      <c r="B172" s="10"/>
      <c r="C172" s="10"/>
      <c r="F172" s="10"/>
    </row>
    <row r="173">
      <c r="B173" s="10"/>
      <c r="C173" s="10"/>
      <c r="F173" s="10"/>
    </row>
    <row r="174">
      <c r="B174" s="10"/>
      <c r="C174" s="10"/>
      <c r="F174" s="10"/>
    </row>
    <row r="175">
      <c r="B175" s="10"/>
      <c r="C175" s="10"/>
      <c r="F175" s="10"/>
    </row>
    <row r="176">
      <c r="B176" s="10"/>
      <c r="C176" s="10"/>
      <c r="F176" s="10"/>
    </row>
    <row r="177">
      <c r="B177" s="10"/>
      <c r="C177" s="10"/>
      <c r="F177" s="10"/>
    </row>
    <row r="178">
      <c r="B178" s="10"/>
      <c r="C178" s="10"/>
      <c r="F178" s="10"/>
    </row>
    <row r="179">
      <c r="B179" s="10"/>
      <c r="C179" s="10"/>
      <c r="F179" s="10"/>
    </row>
    <row r="180">
      <c r="B180" s="10"/>
      <c r="C180" s="10"/>
      <c r="F180" s="10"/>
    </row>
    <row r="181">
      <c r="B181" s="10"/>
      <c r="C181" s="10"/>
      <c r="F181" s="10"/>
    </row>
    <row r="182">
      <c r="B182" s="10"/>
      <c r="C182" s="10"/>
      <c r="F182" s="10"/>
    </row>
    <row r="183">
      <c r="B183" s="10"/>
      <c r="C183" s="10"/>
      <c r="F183" s="10"/>
    </row>
    <row r="184">
      <c r="B184" s="10"/>
      <c r="C184" s="10"/>
      <c r="F184" s="10"/>
    </row>
    <row r="185">
      <c r="B185" s="10"/>
      <c r="C185" s="10"/>
      <c r="F185" s="10"/>
    </row>
    <row r="186">
      <c r="B186" s="10"/>
      <c r="C186" s="10"/>
      <c r="F186" s="10"/>
    </row>
    <row r="187">
      <c r="B187" s="10"/>
      <c r="C187" s="10"/>
      <c r="F187" s="10"/>
    </row>
    <row r="188">
      <c r="B188" s="10"/>
      <c r="C188" s="10"/>
      <c r="F188" s="10"/>
    </row>
    <row r="189">
      <c r="B189" s="10"/>
      <c r="C189" s="10"/>
      <c r="F189" s="10"/>
    </row>
    <row r="190">
      <c r="B190" s="10"/>
      <c r="C190" s="10"/>
      <c r="F190" s="10"/>
    </row>
    <row r="191">
      <c r="B191" s="10"/>
      <c r="C191" s="10"/>
      <c r="F191" s="10"/>
    </row>
    <row r="192">
      <c r="B192" s="10"/>
      <c r="C192" s="10"/>
      <c r="F192" s="10"/>
    </row>
    <row r="193">
      <c r="B193" s="10"/>
      <c r="C193" s="10"/>
      <c r="F193" s="10"/>
    </row>
    <row r="194">
      <c r="B194" s="10"/>
      <c r="C194" s="10"/>
      <c r="F194" s="10"/>
    </row>
    <row r="195">
      <c r="B195" s="10"/>
      <c r="C195" s="10"/>
      <c r="F195" s="10"/>
    </row>
    <row r="196">
      <c r="B196" s="10"/>
      <c r="C196" s="10"/>
      <c r="F196" s="10"/>
    </row>
    <row r="197">
      <c r="B197" s="10"/>
      <c r="C197" s="10"/>
      <c r="F197" s="10"/>
    </row>
    <row r="198">
      <c r="B198" s="10"/>
      <c r="C198" s="10"/>
      <c r="F198" s="10"/>
    </row>
    <row r="199">
      <c r="B199" s="10"/>
      <c r="C199" s="10"/>
      <c r="F199" s="10"/>
    </row>
    <row r="200">
      <c r="B200" s="10"/>
      <c r="C200" s="10"/>
      <c r="F200" s="10"/>
    </row>
    <row r="201">
      <c r="B201" s="10"/>
      <c r="C201" s="10"/>
      <c r="F201" s="10"/>
    </row>
    <row r="202">
      <c r="B202" s="10"/>
      <c r="C202" s="10"/>
      <c r="F202" s="10"/>
    </row>
    <row r="203">
      <c r="B203" s="10"/>
      <c r="C203" s="10"/>
      <c r="F203" s="10"/>
    </row>
    <row r="204">
      <c r="B204" s="10"/>
      <c r="C204" s="10"/>
      <c r="F204" s="10"/>
    </row>
    <row r="205">
      <c r="B205" s="10"/>
      <c r="C205" s="10"/>
      <c r="F205" s="10"/>
    </row>
    <row r="206">
      <c r="B206" s="10"/>
      <c r="C206" s="10"/>
      <c r="F206" s="10"/>
    </row>
    <row r="207">
      <c r="B207" s="10"/>
      <c r="C207" s="10"/>
      <c r="F207" s="10"/>
    </row>
    <row r="208">
      <c r="B208" s="10"/>
      <c r="C208" s="10"/>
      <c r="F208" s="10"/>
    </row>
    <row r="209">
      <c r="B209" s="10"/>
      <c r="C209" s="10"/>
      <c r="F209" s="10"/>
    </row>
    <row r="210">
      <c r="B210" s="10"/>
      <c r="C210" s="10"/>
      <c r="F210" s="10"/>
    </row>
    <row r="211">
      <c r="B211" s="10"/>
      <c r="C211" s="10"/>
      <c r="F211" s="10"/>
    </row>
    <row r="212">
      <c r="B212" s="10"/>
      <c r="C212" s="10"/>
      <c r="F212" s="10"/>
    </row>
    <row r="213">
      <c r="B213" s="10"/>
      <c r="C213" s="10"/>
      <c r="F213" s="10"/>
    </row>
    <row r="214">
      <c r="B214" s="10"/>
      <c r="C214" s="10"/>
      <c r="F214" s="10"/>
    </row>
    <row r="215">
      <c r="B215" s="10"/>
      <c r="C215" s="10"/>
      <c r="F215" s="10"/>
    </row>
    <row r="216">
      <c r="B216" s="10"/>
      <c r="C216" s="10"/>
      <c r="F216" s="10"/>
    </row>
    <row r="217">
      <c r="B217" s="10"/>
      <c r="C217" s="10"/>
      <c r="F217" s="10"/>
    </row>
    <row r="218">
      <c r="B218" s="10"/>
      <c r="C218" s="10"/>
      <c r="F218" s="10"/>
    </row>
    <row r="219">
      <c r="B219" s="10"/>
      <c r="C219" s="10"/>
      <c r="F219" s="10"/>
    </row>
    <row r="220">
      <c r="B220" s="10"/>
      <c r="C220" s="10"/>
      <c r="F220" s="10"/>
    </row>
    <row r="221">
      <c r="B221" s="10"/>
      <c r="C221" s="10"/>
      <c r="F221" s="10"/>
    </row>
    <row r="222">
      <c r="B222" s="10"/>
      <c r="C222" s="10"/>
      <c r="F222" s="10"/>
    </row>
    <row r="223">
      <c r="B223" s="10"/>
      <c r="C223" s="10"/>
      <c r="F223" s="10"/>
    </row>
    <row r="224">
      <c r="B224" s="10"/>
      <c r="C224" s="10"/>
      <c r="F224" s="10"/>
    </row>
    <row r="225">
      <c r="B225" s="10"/>
      <c r="C225" s="10"/>
      <c r="F225" s="10"/>
    </row>
    <row r="226">
      <c r="B226" s="10"/>
      <c r="C226" s="10"/>
      <c r="F226" s="10"/>
    </row>
    <row r="227">
      <c r="B227" s="10"/>
      <c r="C227" s="10"/>
      <c r="F227" s="10"/>
    </row>
    <row r="228">
      <c r="B228" s="10"/>
      <c r="C228" s="10"/>
      <c r="F228" s="10"/>
    </row>
    <row r="229">
      <c r="B229" s="10"/>
      <c r="C229" s="10"/>
      <c r="F229" s="10"/>
    </row>
    <row r="230">
      <c r="B230" s="10"/>
      <c r="C230" s="10"/>
      <c r="F230" s="10"/>
    </row>
    <row r="231">
      <c r="B231" s="10"/>
      <c r="C231" s="10"/>
      <c r="F231" s="10"/>
    </row>
    <row r="232">
      <c r="B232" s="10"/>
      <c r="C232" s="10"/>
      <c r="F232" s="10"/>
    </row>
    <row r="233">
      <c r="B233" s="10"/>
      <c r="C233" s="10"/>
      <c r="F233" s="10"/>
    </row>
    <row r="234">
      <c r="B234" s="10"/>
      <c r="C234" s="10"/>
      <c r="F234" s="10"/>
    </row>
    <row r="235">
      <c r="B235" s="10"/>
      <c r="C235" s="10"/>
      <c r="F235" s="10"/>
    </row>
    <row r="236">
      <c r="B236" s="10"/>
      <c r="C236" s="10"/>
      <c r="F236" s="10"/>
    </row>
    <row r="237">
      <c r="B237" s="10"/>
      <c r="C237" s="10"/>
      <c r="F237" s="10"/>
    </row>
    <row r="238">
      <c r="B238" s="10"/>
      <c r="C238" s="10"/>
      <c r="F238" s="10"/>
    </row>
    <row r="239">
      <c r="B239" s="10"/>
      <c r="C239" s="10"/>
      <c r="F239" s="10"/>
    </row>
    <row r="240">
      <c r="B240" s="10"/>
      <c r="C240" s="10"/>
      <c r="F240" s="10"/>
    </row>
    <row r="241">
      <c r="B241" s="10"/>
      <c r="C241" s="10"/>
      <c r="F241" s="10"/>
    </row>
    <row r="242">
      <c r="B242" s="10"/>
      <c r="C242" s="10"/>
      <c r="F242" s="10"/>
    </row>
    <row r="243">
      <c r="B243" s="10"/>
      <c r="C243" s="10"/>
      <c r="F243" s="10"/>
    </row>
    <row r="244">
      <c r="B244" s="10"/>
      <c r="C244" s="10"/>
      <c r="F244" s="10"/>
    </row>
    <row r="245">
      <c r="B245" s="10"/>
      <c r="C245" s="10"/>
      <c r="F245" s="10"/>
    </row>
    <row r="246">
      <c r="B246" s="10"/>
      <c r="C246" s="10"/>
      <c r="F246" s="10"/>
    </row>
    <row r="247">
      <c r="B247" s="10"/>
      <c r="C247" s="10"/>
      <c r="F247" s="10"/>
    </row>
    <row r="248">
      <c r="B248" s="10"/>
      <c r="C248" s="10"/>
      <c r="F248" s="10"/>
    </row>
    <row r="249">
      <c r="B249" s="10"/>
      <c r="C249" s="10"/>
      <c r="F249" s="10"/>
    </row>
    <row r="250">
      <c r="B250" s="10"/>
      <c r="C250" s="10"/>
      <c r="F250" s="10"/>
    </row>
    <row r="251">
      <c r="B251" s="10"/>
      <c r="C251" s="10"/>
      <c r="F251" s="10"/>
    </row>
    <row r="252">
      <c r="B252" s="10"/>
      <c r="C252" s="10"/>
      <c r="F252" s="10"/>
    </row>
    <row r="253">
      <c r="B253" s="10"/>
      <c r="C253" s="10"/>
      <c r="F253" s="10"/>
    </row>
    <row r="254">
      <c r="B254" s="10"/>
      <c r="C254" s="10"/>
      <c r="F254" s="10"/>
    </row>
    <row r="255">
      <c r="B255" s="10"/>
      <c r="C255" s="10"/>
      <c r="F255" s="10"/>
    </row>
    <row r="256">
      <c r="B256" s="10"/>
      <c r="C256" s="10"/>
      <c r="F256" s="10"/>
    </row>
    <row r="257">
      <c r="B257" s="10"/>
      <c r="C257" s="10"/>
      <c r="F257" s="10"/>
    </row>
    <row r="258">
      <c r="B258" s="10"/>
      <c r="C258" s="10"/>
      <c r="F258" s="10"/>
    </row>
    <row r="259">
      <c r="B259" s="10"/>
      <c r="C259" s="10"/>
      <c r="F259" s="10"/>
    </row>
    <row r="260">
      <c r="B260" s="10"/>
      <c r="C260" s="10"/>
      <c r="F260" s="10"/>
    </row>
    <row r="261">
      <c r="B261" s="10"/>
      <c r="C261" s="10"/>
      <c r="F261" s="10"/>
    </row>
    <row r="262">
      <c r="B262" s="10"/>
      <c r="C262" s="10"/>
      <c r="F262" s="10"/>
    </row>
    <row r="263">
      <c r="B263" s="10"/>
      <c r="C263" s="10"/>
      <c r="F263" s="10"/>
    </row>
    <row r="264">
      <c r="B264" s="10"/>
      <c r="C264" s="10"/>
      <c r="F264" s="10"/>
    </row>
    <row r="265">
      <c r="B265" s="10"/>
      <c r="C265" s="10"/>
      <c r="F265" s="10"/>
    </row>
    <row r="266">
      <c r="B266" s="10"/>
      <c r="C266" s="10"/>
      <c r="F266" s="10"/>
    </row>
    <row r="267">
      <c r="B267" s="10"/>
      <c r="C267" s="10"/>
      <c r="F267" s="10"/>
    </row>
    <row r="268">
      <c r="B268" s="10"/>
      <c r="C268" s="10"/>
      <c r="F268" s="10"/>
    </row>
    <row r="269">
      <c r="B269" s="10"/>
      <c r="C269" s="10"/>
      <c r="F269" s="10"/>
    </row>
    <row r="270">
      <c r="B270" s="10"/>
      <c r="C270" s="10"/>
      <c r="F270" s="10"/>
    </row>
    <row r="271">
      <c r="B271" s="10"/>
      <c r="C271" s="10"/>
      <c r="F271" s="10"/>
    </row>
    <row r="272">
      <c r="B272" s="10"/>
      <c r="C272" s="10"/>
      <c r="F272" s="10"/>
    </row>
    <row r="273">
      <c r="B273" s="10"/>
      <c r="C273" s="10"/>
      <c r="F273" s="10"/>
    </row>
    <row r="274">
      <c r="B274" s="10"/>
      <c r="C274" s="10"/>
      <c r="F274" s="10"/>
    </row>
    <row r="275">
      <c r="B275" s="10"/>
      <c r="C275" s="10"/>
      <c r="F275" s="10"/>
    </row>
    <row r="276">
      <c r="B276" s="10"/>
      <c r="C276" s="10"/>
      <c r="F276" s="10"/>
    </row>
    <row r="277">
      <c r="B277" s="10"/>
      <c r="C277" s="10"/>
      <c r="F277" s="10"/>
    </row>
    <row r="278">
      <c r="B278" s="10"/>
      <c r="C278" s="10"/>
      <c r="F278" s="10"/>
    </row>
    <row r="279">
      <c r="B279" s="10"/>
      <c r="C279" s="10"/>
      <c r="F279" s="10"/>
    </row>
    <row r="280">
      <c r="B280" s="10"/>
      <c r="C280" s="10"/>
      <c r="F280" s="10"/>
    </row>
    <row r="281">
      <c r="B281" s="10"/>
      <c r="C281" s="10"/>
      <c r="F281" s="10"/>
    </row>
    <row r="282">
      <c r="B282" s="10"/>
      <c r="C282" s="10"/>
      <c r="F282" s="10"/>
    </row>
    <row r="283">
      <c r="B283" s="10"/>
      <c r="C283" s="10"/>
      <c r="F283" s="10"/>
    </row>
    <row r="284">
      <c r="B284" s="10"/>
      <c r="C284" s="10"/>
      <c r="F284" s="10"/>
    </row>
    <row r="285">
      <c r="B285" s="10"/>
      <c r="C285" s="10"/>
      <c r="F285" s="10"/>
    </row>
    <row r="286">
      <c r="B286" s="10"/>
      <c r="C286" s="10"/>
      <c r="F286" s="10"/>
    </row>
    <row r="287">
      <c r="B287" s="10"/>
      <c r="C287" s="10"/>
      <c r="F287" s="10"/>
    </row>
    <row r="288">
      <c r="B288" s="10"/>
      <c r="C288" s="10"/>
      <c r="F288" s="10"/>
    </row>
    <row r="289">
      <c r="B289" s="10"/>
      <c r="C289" s="10"/>
      <c r="F289" s="10"/>
    </row>
    <row r="290">
      <c r="B290" s="10"/>
      <c r="C290" s="10"/>
      <c r="F290" s="10"/>
    </row>
    <row r="291">
      <c r="B291" s="10"/>
      <c r="C291" s="10"/>
      <c r="F291" s="10"/>
    </row>
    <row r="292">
      <c r="B292" s="10"/>
      <c r="C292" s="10"/>
      <c r="F292" s="10"/>
    </row>
    <row r="293">
      <c r="B293" s="10"/>
      <c r="C293" s="10"/>
      <c r="F293" s="10"/>
    </row>
    <row r="294">
      <c r="B294" s="10"/>
      <c r="C294" s="10"/>
      <c r="F294" s="10"/>
    </row>
    <row r="295">
      <c r="B295" s="10"/>
      <c r="C295" s="10"/>
      <c r="F295" s="10"/>
    </row>
    <row r="296">
      <c r="B296" s="10"/>
      <c r="C296" s="10"/>
      <c r="F296" s="10"/>
    </row>
    <row r="297">
      <c r="B297" s="10"/>
      <c r="C297" s="10"/>
      <c r="F297" s="10"/>
    </row>
    <row r="298">
      <c r="B298" s="10"/>
      <c r="C298" s="10"/>
      <c r="F298" s="10"/>
    </row>
    <row r="299">
      <c r="B299" s="10"/>
      <c r="C299" s="10"/>
      <c r="F299" s="10"/>
    </row>
    <row r="300">
      <c r="B300" s="10"/>
      <c r="C300" s="10"/>
      <c r="F300" s="10"/>
    </row>
    <row r="301">
      <c r="B301" s="10"/>
      <c r="C301" s="10"/>
      <c r="F301" s="10"/>
    </row>
    <row r="302">
      <c r="B302" s="10"/>
      <c r="C302" s="10"/>
      <c r="F302" s="10"/>
    </row>
    <row r="303">
      <c r="B303" s="10"/>
      <c r="C303" s="10"/>
      <c r="F303" s="10"/>
    </row>
    <row r="304">
      <c r="B304" s="10"/>
      <c r="C304" s="10"/>
      <c r="F304" s="10"/>
    </row>
    <row r="305">
      <c r="B305" s="10"/>
      <c r="C305" s="10"/>
      <c r="F305" s="10"/>
    </row>
    <row r="306">
      <c r="B306" s="10"/>
      <c r="C306" s="10"/>
      <c r="F306" s="10"/>
    </row>
    <row r="307">
      <c r="B307" s="10"/>
      <c r="C307" s="10"/>
      <c r="F307" s="10"/>
    </row>
    <row r="308">
      <c r="B308" s="10"/>
      <c r="C308" s="10"/>
      <c r="F308" s="10"/>
    </row>
    <row r="309">
      <c r="B309" s="10"/>
      <c r="C309" s="10"/>
      <c r="F309" s="10"/>
    </row>
    <row r="310">
      <c r="B310" s="10"/>
      <c r="C310" s="10"/>
      <c r="F310" s="10"/>
    </row>
    <row r="311">
      <c r="B311" s="10"/>
      <c r="C311" s="10"/>
      <c r="F311" s="10"/>
    </row>
    <row r="312">
      <c r="B312" s="10"/>
      <c r="C312" s="10"/>
      <c r="F312" s="10"/>
    </row>
    <row r="313">
      <c r="B313" s="10"/>
      <c r="C313" s="10"/>
      <c r="F313" s="10"/>
    </row>
    <row r="314">
      <c r="B314" s="10"/>
      <c r="C314" s="10"/>
      <c r="F314" s="10"/>
    </row>
    <row r="315">
      <c r="B315" s="10"/>
      <c r="C315" s="10"/>
      <c r="F315" s="10"/>
    </row>
    <row r="316">
      <c r="B316" s="10"/>
      <c r="C316" s="10"/>
      <c r="F316" s="10"/>
    </row>
    <row r="317">
      <c r="B317" s="10"/>
      <c r="C317" s="10"/>
      <c r="F317" s="10"/>
    </row>
    <row r="318">
      <c r="B318" s="10"/>
      <c r="C318" s="10"/>
      <c r="F318" s="10"/>
    </row>
    <row r="319">
      <c r="B319" s="10"/>
      <c r="C319" s="10"/>
      <c r="F319" s="10"/>
    </row>
    <row r="320">
      <c r="B320" s="10"/>
      <c r="C320" s="10"/>
      <c r="F320" s="10"/>
    </row>
    <row r="321">
      <c r="B321" s="10"/>
      <c r="C321" s="10"/>
      <c r="F321" s="10"/>
    </row>
    <row r="322">
      <c r="B322" s="10"/>
      <c r="C322" s="10"/>
      <c r="F322" s="10"/>
    </row>
    <row r="323">
      <c r="B323" s="10"/>
      <c r="C323" s="10"/>
      <c r="F323" s="10"/>
    </row>
    <row r="324">
      <c r="B324" s="10"/>
      <c r="C324" s="10"/>
      <c r="F324" s="10"/>
    </row>
    <row r="325">
      <c r="B325" s="10"/>
      <c r="C325" s="10"/>
      <c r="F325" s="10"/>
    </row>
    <row r="326">
      <c r="B326" s="10"/>
      <c r="C326" s="10"/>
      <c r="F326" s="10"/>
    </row>
    <row r="327">
      <c r="B327" s="10"/>
      <c r="C327" s="10"/>
      <c r="F327" s="10"/>
    </row>
    <row r="328">
      <c r="B328" s="10"/>
      <c r="C328" s="10"/>
      <c r="F328" s="10"/>
    </row>
    <row r="329">
      <c r="B329" s="10"/>
      <c r="C329" s="10"/>
      <c r="F329" s="10"/>
    </row>
    <row r="330">
      <c r="B330" s="10"/>
      <c r="C330" s="10"/>
      <c r="F330" s="10"/>
    </row>
    <row r="331">
      <c r="B331" s="10"/>
      <c r="C331" s="10"/>
      <c r="F331" s="10"/>
    </row>
    <row r="332">
      <c r="B332" s="10"/>
      <c r="C332" s="10"/>
      <c r="F332" s="10"/>
    </row>
    <row r="333">
      <c r="B333" s="10"/>
      <c r="C333" s="10"/>
      <c r="F333" s="10"/>
    </row>
    <row r="334">
      <c r="B334" s="10"/>
      <c r="C334" s="10"/>
      <c r="F334" s="10"/>
    </row>
    <row r="335">
      <c r="B335" s="10"/>
      <c r="C335" s="10"/>
      <c r="F335" s="10"/>
    </row>
    <row r="336">
      <c r="B336" s="10"/>
      <c r="C336" s="10"/>
      <c r="F336" s="10"/>
    </row>
    <row r="337">
      <c r="B337" s="10"/>
      <c r="C337" s="10"/>
      <c r="F337" s="10"/>
    </row>
    <row r="338">
      <c r="B338" s="10"/>
      <c r="C338" s="10"/>
      <c r="F338" s="10"/>
    </row>
    <row r="339">
      <c r="B339" s="10"/>
      <c r="C339" s="10"/>
      <c r="F339" s="10"/>
    </row>
    <row r="340">
      <c r="B340" s="10"/>
      <c r="C340" s="10"/>
      <c r="F340" s="10"/>
    </row>
    <row r="341">
      <c r="B341" s="10"/>
      <c r="C341" s="10"/>
      <c r="F341" s="10"/>
    </row>
    <row r="342">
      <c r="B342" s="10"/>
      <c r="C342" s="10"/>
      <c r="F342" s="10"/>
    </row>
    <row r="343">
      <c r="B343" s="10"/>
      <c r="C343" s="10"/>
      <c r="F343" s="10"/>
    </row>
    <row r="344">
      <c r="B344" s="10"/>
      <c r="C344" s="10"/>
      <c r="F344" s="10"/>
    </row>
    <row r="345">
      <c r="B345" s="10"/>
      <c r="C345" s="10"/>
      <c r="F345" s="10"/>
    </row>
    <row r="346">
      <c r="B346" s="10"/>
      <c r="C346" s="10"/>
      <c r="F346" s="10"/>
    </row>
    <row r="347">
      <c r="B347" s="10"/>
      <c r="C347" s="10"/>
      <c r="F347" s="10"/>
    </row>
    <row r="348">
      <c r="B348" s="10"/>
      <c r="C348" s="10"/>
      <c r="F348" s="10"/>
    </row>
    <row r="349">
      <c r="B349" s="10"/>
      <c r="C349" s="10"/>
      <c r="F349" s="10"/>
    </row>
    <row r="350">
      <c r="B350" s="10"/>
      <c r="C350" s="10"/>
      <c r="F350" s="10"/>
    </row>
    <row r="351">
      <c r="B351" s="10"/>
      <c r="C351" s="10"/>
      <c r="F351" s="10"/>
    </row>
    <row r="352">
      <c r="B352" s="10"/>
      <c r="C352" s="10"/>
      <c r="F352" s="10"/>
    </row>
    <row r="353">
      <c r="B353" s="10"/>
      <c r="C353" s="10"/>
      <c r="F353" s="10"/>
    </row>
    <row r="354">
      <c r="B354" s="10"/>
      <c r="C354" s="10"/>
      <c r="F354" s="10"/>
    </row>
    <row r="355">
      <c r="B355" s="10"/>
      <c r="C355" s="10"/>
      <c r="F355" s="10"/>
    </row>
    <row r="356">
      <c r="B356" s="10"/>
      <c r="C356" s="10"/>
      <c r="F356" s="10"/>
    </row>
    <row r="357">
      <c r="B357" s="10"/>
      <c r="C357" s="10"/>
      <c r="F357" s="10"/>
    </row>
    <row r="358">
      <c r="B358" s="10"/>
      <c r="C358" s="10"/>
      <c r="F358" s="10"/>
    </row>
    <row r="359">
      <c r="B359" s="10"/>
      <c r="C359" s="10"/>
      <c r="F359" s="10"/>
    </row>
    <row r="360">
      <c r="B360" s="10"/>
      <c r="C360" s="10"/>
      <c r="F360" s="10"/>
    </row>
    <row r="361">
      <c r="B361" s="10"/>
      <c r="C361" s="10"/>
      <c r="F361" s="10"/>
    </row>
    <row r="362">
      <c r="B362" s="10"/>
      <c r="C362" s="10"/>
      <c r="F362" s="10"/>
    </row>
    <row r="363">
      <c r="B363" s="10"/>
      <c r="C363" s="10"/>
      <c r="F363" s="10"/>
    </row>
    <row r="364">
      <c r="B364" s="10"/>
      <c r="C364" s="10"/>
      <c r="F364" s="10"/>
    </row>
    <row r="365">
      <c r="B365" s="10"/>
      <c r="C365" s="10"/>
      <c r="F365" s="10"/>
    </row>
    <row r="366">
      <c r="B366" s="10"/>
      <c r="C366" s="10"/>
      <c r="F366" s="10"/>
    </row>
    <row r="367">
      <c r="B367" s="10"/>
      <c r="C367" s="10"/>
      <c r="F367" s="10"/>
    </row>
    <row r="368">
      <c r="B368" s="10"/>
      <c r="C368" s="10"/>
      <c r="F368" s="10"/>
    </row>
    <row r="369">
      <c r="B369" s="10"/>
      <c r="C369" s="10"/>
      <c r="F369" s="10"/>
    </row>
    <row r="370">
      <c r="B370" s="10"/>
      <c r="C370" s="10"/>
      <c r="F370" s="10"/>
    </row>
    <row r="371">
      <c r="B371" s="10"/>
      <c r="C371" s="10"/>
      <c r="F371" s="10"/>
    </row>
    <row r="372">
      <c r="B372" s="10"/>
      <c r="C372" s="10"/>
      <c r="F372" s="10"/>
    </row>
    <row r="373">
      <c r="B373" s="10"/>
      <c r="C373" s="10"/>
      <c r="F373" s="10"/>
    </row>
    <row r="374">
      <c r="B374" s="10"/>
      <c r="C374" s="10"/>
      <c r="F374" s="10"/>
    </row>
    <row r="375">
      <c r="B375" s="10"/>
      <c r="C375" s="10"/>
      <c r="F375" s="10"/>
    </row>
    <row r="376">
      <c r="B376" s="10"/>
      <c r="C376" s="10"/>
      <c r="F376" s="10"/>
    </row>
    <row r="377">
      <c r="B377" s="10"/>
      <c r="C377" s="10"/>
      <c r="F377" s="10"/>
    </row>
    <row r="378">
      <c r="B378" s="10"/>
      <c r="C378" s="10"/>
      <c r="F378" s="10"/>
    </row>
    <row r="379">
      <c r="B379" s="10"/>
      <c r="C379" s="10"/>
      <c r="F379" s="10"/>
    </row>
    <row r="380">
      <c r="B380" s="10"/>
      <c r="C380" s="10"/>
      <c r="F380" s="10"/>
    </row>
    <row r="381">
      <c r="B381" s="10"/>
      <c r="C381" s="10"/>
      <c r="F381" s="10"/>
    </row>
    <row r="382">
      <c r="B382" s="10"/>
      <c r="C382" s="10"/>
      <c r="F382" s="10"/>
    </row>
    <row r="383">
      <c r="B383" s="10"/>
      <c r="C383" s="10"/>
      <c r="F383" s="10"/>
    </row>
    <row r="384">
      <c r="B384" s="10"/>
      <c r="C384" s="10"/>
      <c r="F384" s="10"/>
    </row>
    <row r="385">
      <c r="B385" s="10"/>
      <c r="C385" s="10"/>
      <c r="F385" s="10"/>
    </row>
    <row r="386">
      <c r="B386" s="10"/>
      <c r="C386" s="10"/>
      <c r="F386" s="10"/>
    </row>
    <row r="387">
      <c r="B387" s="10"/>
      <c r="C387" s="10"/>
      <c r="F387" s="10"/>
    </row>
    <row r="388">
      <c r="B388" s="10"/>
      <c r="C388" s="10"/>
      <c r="F388" s="10"/>
    </row>
    <row r="389">
      <c r="B389" s="10"/>
      <c r="C389" s="10"/>
      <c r="F389" s="10"/>
    </row>
    <row r="390">
      <c r="B390" s="10"/>
      <c r="C390" s="10"/>
      <c r="F390" s="10"/>
    </row>
    <row r="391">
      <c r="B391" s="10"/>
      <c r="C391" s="10"/>
      <c r="F391" s="10"/>
    </row>
    <row r="392">
      <c r="B392" s="10"/>
      <c r="C392" s="10"/>
      <c r="F392" s="10"/>
    </row>
    <row r="393">
      <c r="B393" s="10"/>
      <c r="C393" s="10"/>
      <c r="F393" s="10"/>
    </row>
    <row r="394">
      <c r="B394" s="10"/>
      <c r="C394" s="10"/>
      <c r="F394" s="10"/>
    </row>
    <row r="395">
      <c r="B395" s="10"/>
      <c r="C395" s="10"/>
      <c r="F395" s="10"/>
    </row>
    <row r="396">
      <c r="B396" s="10"/>
      <c r="C396" s="10"/>
      <c r="F396" s="10"/>
    </row>
    <row r="397">
      <c r="B397" s="10"/>
      <c r="C397" s="10"/>
      <c r="F397" s="10"/>
    </row>
    <row r="398">
      <c r="B398" s="10"/>
      <c r="C398" s="10"/>
      <c r="F398" s="10"/>
    </row>
    <row r="399">
      <c r="B399" s="10"/>
      <c r="C399" s="10"/>
      <c r="F399" s="10"/>
    </row>
    <row r="400">
      <c r="B400" s="10"/>
      <c r="C400" s="10"/>
      <c r="F400" s="10"/>
    </row>
    <row r="401">
      <c r="B401" s="10"/>
      <c r="C401" s="10"/>
      <c r="F401" s="10"/>
    </row>
    <row r="402">
      <c r="B402" s="10"/>
      <c r="C402" s="10"/>
      <c r="F402" s="10"/>
    </row>
    <row r="403">
      <c r="B403" s="10"/>
      <c r="C403" s="10"/>
      <c r="F403" s="10"/>
    </row>
    <row r="404">
      <c r="B404" s="10"/>
      <c r="C404" s="10"/>
      <c r="F404" s="10"/>
    </row>
    <row r="405">
      <c r="B405" s="10"/>
      <c r="C405" s="10"/>
      <c r="F405" s="10"/>
    </row>
    <row r="406">
      <c r="B406" s="10"/>
      <c r="C406" s="10"/>
      <c r="F406" s="10"/>
    </row>
    <row r="407">
      <c r="B407" s="10"/>
      <c r="C407" s="10"/>
      <c r="F407" s="10"/>
    </row>
    <row r="408">
      <c r="B408" s="10"/>
      <c r="C408" s="10"/>
      <c r="F408" s="10"/>
    </row>
    <row r="409">
      <c r="B409" s="10"/>
      <c r="C409" s="10"/>
      <c r="F409" s="10"/>
    </row>
    <row r="410">
      <c r="B410" s="10"/>
      <c r="C410" s="10"/>
      <c r="F410" s="10"/>
    </row>
    <row r="411">
      <c r="B411" s="10"/>
      <c r="C411" s="10"/>
      <c r="F411" s="10"/>
    </row>
    <row r="412">
      <c r="B412" s="10"/>
      <c r="C412" s="10"/>
      <c r="F412" s="10"/>
    </row>
    <row r="413">
      <c r="B413" s="10"/>
      <c r="C413" s="10"/>
      <c r="F413" s="10"/>
    </row>
    <row r="414">
      <c r="B414" s="10"/>
      <c r="C414" s="10"/>
      <c r="F414" s="10"/>
    </row>
    <row r="415">
      <c r="B415" s="10"/>
      <c r="C415" s="10"/>
      <c r="F415" s="10"/>
    </row>
    <row r="416">
      <c r="B416" s="10"/>
      <c r="C416" s="10"/>
      <c r="F416" s="10"/>
    </row>
    <row r="417">
      <c r="B417" s="10"/>
      <c r="C417" s="10"/>
      <c r="F417" s="10"/>
    </row>
    <row r="418">
      <c r="B418" s="10"/>
      <c r="C418" s="10"/>
      <c r="F418" s="10"/>
    </row>
    <row r="419">
      <c r="B419" s="10"/>
      <c r="C419" s="10"/>
      <c r="F419" s="10"/>
    </row>
    <row r="420">
      <c r="B420" s="10"/>
      <c r="C420" s="10"/>
      <c r="F420" s="10"/>
    </row>
    <row r="421">
      <c r="B421" s="10"/>
      <c r="C421" s="10"/>
      <c r="F421" s="10"/>
    </row>
    <row r="422">
      <c r="B422" s="10"/>
      <c r="C422" s="10"/>
      <c r="F422" s="10"/>
    </row>
    <row r="423">
      <c r="B423" s="10"/>
      <c r="C423" s="10"/>
      <c r="F423" s="10"/>
    </row>
    <row r="424">
      <c r="B424" s="10"/>
      <c r="C424" s="10"/>
      <c r="F424" s="10"/>
    </row>
    <row r="425">
      <c r="B425" s="10"/>
      <c r="C425" s="10"/>
      <c r="F425" s="10"/>
    </row>
    <row r="426">
      <c r="B426" s="10"/>
      <c r="C426" s="10"/>
      <c r="F426" s="10"/>
    </row>
    <row r="427">
      <c r="B427" s="10"/>
      <c r="C427" s="10"/>
      <c r="F427" s="10"/>
    </row>
    <row r="428">
      <c r="B428" s="10"/>
      <c r="C428" s="10"/>
      <c r="F428" s="10"/>
    </row>
    <row r="429">
      <c r="B429" s="10"/>
      <c r="C429" s="10"/>
      <c r="F429" s="10"/>
    </row>
    <row r="430">
      <c r="B430" s="10"/>
      <c r="C430" s="10"/>
      <c r="F430" s="10"/>
    </row>
    <row r="431">
      <c r="B431" s="10"/>
      <c r="C431" s="10"/>
      <c r="F431" s="10"/>
    </row>
    <row r="432">
      <c r="B432" s="10"/>
      <c r="C432" s="10"/>
      <c r="F432" s="10"/>
    </row>
    <row r="433">
      <c r="B433" s="10"/>
      <c r="C433" s="10"/>
      <c r="F433" s="10"/>
    </row>
    <row r="434">
      <c r="B434" s="10"/>
      <c r="C434" s="10"/>
      <c r="F434" s="10"/>
    </row>
    <row r="435">
      <c r="B435" s="10"/>
      <c r="C435" s="10"/>
      <c r="F435" s="10"/>
    </row>
    <row r="436">
      <c r="B436" s="10"/>
      <c r="C436" s="10"/>
      <c r="F436" s="10"/>
    </row>
    <row r="437">
      <c r="B437" s="10"/>
      <c r="C437" s="10"/>
      <c r="F437" s="10"/>
    </row>
    <row r="438">
      <c r="B438" s="10"/>
      <c r="C438" s="10"/>
      <c r="F438" s="10"/>
    </row>
    <row r="439">
      <c r="B439" s="10"/>
      <c r="C439" s="10"/>
      <c r="F439" s="10"/>
    </row>
    <row r="440">
      <c r="B440" s="10"/>
      <c r="C440" s="10"/>
      <c r="F440" s="10"/>
    </row>
    <row r="441">
      <c r="B441" s="10"/>
      <c r="C441" s="10"/>
      <c r="F441" s="10"/>
    </row>
    <row r="442">
      <c r="B442" s="10"/>
      <c r="C442" s="10"/>
      <c r="F442" s="10"/>
    </row>
    <row r="443">
      <c r="B443" s="10"/>
      <c r="C443" s="10"/>
      <c r="F443" s="10"/>
    </row>
    <row r="444">
      <c r="B444" s="10"/>
      <c r="C444" s="10"/>
      <c r="F444" s="10"/>
    </row>
    <row r="445">
      <c r="B445" s="10"/>
      <c r="C445" s="10"/>
      <c r="F445" s="10"/>
    </row>
    <row r="446">
      <c r="B446" s="10"/>
      <c r="C446" s="10"/>
      <c r="F446" s="10"/>
    </row>
    <row r="447">
      <c r="B447" s="10"/>
      <c r="C447" s="10"/>
      <c r="F447" s="10"/>
    </row>
    <row r="448">
      <c r="B448" s="10"/>
      <c r="C448" s="10"/>
      <c r="F448" s="10"/>
    </row>
    <row r="449">
      <c r="B449" s="10"/>
      <c r="C449" s="10"/>
      <c r="F449" s="10"/>
    </row>
    <row r="450">
      <c r="B450" s="10"/>
      <c r="C450" s="10"/>
      <c r="F450" s="10"/>
    </row>
    <row r="451">
      <c r="B451" s="10"/>
      <c r="C451" s="10"/>
      <c r="F451" s="10"/>
    </row>
    <row r="452">
      <c r="B452" s="10"/>
      <c r="C452" s="10"/>
      <c r="F452" s="10"/>
    </row>
    <row r="453">
      <c r="B453" s="10"/>
      <c r="C453" s="10"/>
      <c r="F453" s="10"/>
    </row>
    <row r="454">
      <c r="B454" s="10"/>
      <c r="C454" s="10"/>
      <c r="F454" s="10"/>
    </row>
    <row r="455">
      <c r="B455" s="10"/>
      <c r="C455" s="10"/>
      <c r="F455" s="10"/>
    </row>
    <row r="456">
      <c r="B456" s="10"/>
      <c r="C456" s="10"/>
      <c r="F456" s="10"/>
    </row>
    <row r="457">
      <c r="B457" s="10"/>
      <c r="C457" s="10"/>
      <c r="F457" s="10"/>
    </row>
    <row r="458">
      <c r="B458" s="10"/>
      <c r="C458" s="10"/>
      <c r="F458" s="10"/>
    </row>
    <row r="459">
      <c r="B459" s="10"/>
      <c r="C459" s="10"/>
      <c r="F459" s="10"/>
    </row>
    <row r="460">
      <c r="B460" s="10"/>
      <c r="C460" s="10"/>
      <c r="F460" s="10"/>
    </row>
    <row r="461">
      <c r="B461" s="10"/>
      <c r="C461" s="10"/>
      <c r="F461" s="10"/>
    </row>
    <row r="462">
      <c r="B462" s="10"/>
      <c r="C462" s="10"/>
      <c r="F462" s="10"/>
    </row>
    <row r="463">
      <c r="B463" s="10"/>
      <c r="C463" s="10"/>
      <c r="F463" s="10"/>
    </row>
    <row r="464">
      <c r="B464" s="10"/>
      <c r="C464" s="10"/>
      <c r="F464" s="10"/>
    </row>
    <row r="465">
      <c r="B465" s="10"/>
      <c r="C465" s="10"/>
      <c r="F465" s="10"/>
    </row>
    <row r="466">
      <c r="B466" s="10"/>
      <c r="C466" s="10"/>
      <c r="F466" s="10"/>
    </row>
    <row r="467">
      <c r="B467" s="10"/>
      <c r="C467" s="10"/>
      <c r="F467" s="10"/>
    </row>
    <row r="468">
      <c r="B468" s="10"/>
      <c r="C468" s="10"/>
      <c r="F468" s="10"/>
    </row>
    <row r="469">
      <c r="B469" s="10"/>
      <c r="C469" s="10"/>
      <c r="F469" s="10"/>
    </row>
    <row r="470">
      <c r="B470" s="10"/>
      <c r="C470" s="10"/>
      <c r="F470" s="10"/>
    </row>
    <row r="471">
      <c r="B471" s="10"/>
      <c r="C471" s="10"/>
      <c r="F471" s="10"/>
    </row>
    <row r="472">
      <c r="B472" s="10"/>
      <c r="C472" s="10"/>
      <c r="F472" s="10"/>
    </row>
    <row r="473">
      <c r="B473" s="10"/>
      <c r="C473" s="10"/>
      <c r="F473" s="10"/>
    </row>
    <row r="474">
      <c r="B474" s="10"/>
      <c r="C474" s="10"/>
      <c r="F474" s="10"/>
    </row>
    <row r="475">
      <c r="B475" s="10"/>
      <c r="C475" s="10"/>
      <c r="F475" s="10"/>
    </row>
    <row r="476">
      <c r="B476" s="10"/>
      <c r="C476" s="10"/>
      <c r="F476" s="10"/>
    </row>
    <row r="477">
      <c r="B477" s="10"/>
      <c r="C477" s="10"/>
      <c r="F477" s="10"/>
    </row>
    <row r="478">
      <c r="B478" s="10"/>
      <c r="C478" s="10"/>
      <c r="F478" s="10"/>
    </row>
    <row r="479">
      <c r="B479" s="10"/>
      <c r="C479" s="10"/>
      <c r="F479" s="10"/>
    </row>
    <row r="480">
      <c r="B480" s="10"/>
      <c r="C480" s="10"/>
      <c r="F480" s="10"/>
    </row>
    <row r="481">
      <c r="B481" s="10"/>
      <c r="C481" s="10"/>
      <c r="F481" s="10"/>
    </row>
    <row r="482">
      <c r="B482" s="10"/>
      <c r="C482" s="10"/>
      <c r="F482" s="10"/>
    </row>
    <row r="483">
      <c r="B483" s="10"/>
      <c r="C483" s="10"/>
      <c r="F483" s="10"/>
    </row>
    <row r="484">
      <c r="B484" s="10"/>
      <c r="C484" s="10"/>
      <c r="F484" s="10"/>
    </row>
    <row r="485">
      <c r="B485" s="10"/>
      <c r="C485" s="10"/>
      <c r="F485" s="10"/>
    </row>
    <row r="486">
      <c r="B486" s="10"/>
      <c r="C486" s="10"/>
      <c r="F486" s="10"/>
    </row>
    <row r="487">
      <c r="B487" s="10"/>
      <c r="C487" s="10"/>
      <c r="F487" s="10"/>
    </row>
    <row r="488">
      <c r="B488" s="10"/>
      <c r="C488" s="10"/>
      <c r="F488" s="10"/>
    </row>
    <row r="489">
      <c r="B489" s="10"/>
      <c r="C489" s="10"/>
      <c r="F489" s="10"/>
    </row>
    <row r="490">
      <c r="B490" s="10"/>
      <c r="C490" s="10"/>
      <c r="F490" s="10"/>
    </row>
    <row r="491">
      <c r="B491" s="10"/>
      <c r="C491" s="10"/>
      <c r="F491" s="10"/>
    </row>
    <row r="492">
      <c r="B492" s="10"/>
      <c r="C492" s="10"/>
      <c r="F492" s="10"/>
    </row>
    <row r="493">
      <c r="B493" s="10"/>
      <c r="C493" s="10"/>
      <c r="F493" s="10"/>
    </row>
    <row r="494">
      <c r="B494" s="10"/>
      <c r="C494" s="10"/>
      <c r="F494" s="10"/>
    </row>
    <row r="495">
      <c r="B495" s="10"/>
      <c r="C495" s="10"/>
      <c r="F495" s="10"/>
    </row>
    <row r="496">
      <c r="B496" s="10"/>
      <c r="C496" s="10"/>
      <c r="F496" s="10"/>
    </row>
    <row r="497">
      <c r="B497" s="10"/>
      <c r="C497" s="10"/>
      <c r="F497" s="10"/>
    </row>
    <row r="498">
      <c r="B498" s="10"/>
      <c r="C498" s="10"/>
      <c r="F498" s="10"/>
    </row>
    <row r="499">
      <c r="B499" s="10"/>
      <c r="C499" s="10"/>
      <c r="F499" s="10"/>
    </row>
    <row r="500">
      <c r="B500" s="10"/>
      <c r="C500" s="10"/>
      <c r="F500" s="10"/>
    </row>
    <row r="501">
      <c r="B501" s="10"/>
      <c r="C501" s="10"/>
      <c r="F501" s="10"/>
    </row>
    <row r="502">
      <c r="B502" s="10"/>
      <c r="C502" s="10"/>
      <c r="F502" s="10"/>
    </row>
    <row r="503">
      <c r="B503" s="10"/>
      <c r="C503" s="10"/>
      <c r="F503" s="10"/>
    </row>
    <row r="504">
      <c r="B504" s="10"/>
      <c r="C504" s="10"/>
      <c r="F504" s="10"/>
    </row>
    <row r="505">
      <c r="B505" s="10"/>
      <c r="C505" s="10"/>
      <c r="F505" s="10"/>
    </row>
    <row r="506">
      <c r="B506" s="10"/>
      <c r="C506" s="10"/>
      <c r="F506" s="10"/>
    </row>
    <row r="507">
      <c r="B507" s="10"/>
      <c r="C507" s="10"/>
      <c r="F507" s="10"/>
    </row>
    <row r="508">
      <c r="B508" s="10"/>
      <c r="C508" s="10"/>
      <c r="F508" s="10"/>
    </row>
    <row r="509">
      <c r="B509" s="10"/>
      <c r="C509" s="10"/>
      <c r="F509" s="10"/>
    </row>
    <row r="510">
      <c r="B510" s="10"/>
      <c r="C510" s="10"/>
      <c r="F510" s="10"/>
    </row>
    <row r="511">
      <c r="B511" s="10"/>
      <c r="C511" s="10"/>
      <c r="F511" s="10"/>
    </row>
    <row r="512">
      <c r="B512" s="10"/>
      <c r="C512" s="10"/>
      <c r="F512" s="10"/>
    </row>
    <row r="513">
      <c r="B513" s="10"/>
      <c r="C513" s="10"/>
      <c r="F513" s="10"/>
    </row>
    <row r="514">
      <c r="B514" s="10"/>
      <c r="C514" s="10"/>
      <c r="F514" s="10"/>
    </row>
    <row r="515">
      <c r="B515" s="10"/>
      <c r="C515" s="10"/>
      <c r="F515" s="10"/>
    </row>
    <row r="516">
      <c r="B516" s="10"/>
      <c r="C516" s="10"/>
      <c r="F516" s="10"/>
    </row>
    <row r="517">
      <c r="B517" s="10"/>
      <c r="C517" s="10"/>
      <c r="F517" s="10"/>
    </row>
    <row r="518">
      <c r="B518" s="10"/>
      <c r="C518" s="10"/>
      <c r="F518" s="10"/>
    </row>
    <row r="519">
      <c r="B519" s="10"/>
      <c r="C519" s="10"/>
      <c r="F519" s="10"/>
    </row>
    <row r="520">
      <c r="B520" s="10"/>
      <c r="C520" s="10"/>
      <c r="F520" s="10"/>
    </row>
    <row r="521">
      <c r="B521" s="10"/>
      <c r="C521" s="10"/>
      <c r="F521" s="10"/>
    </row>
    <row r="522">
      <c r="B522" s="10"/>
      <c r="C522" s="10"/>
      <c r="F522" s="10"/>
    </row>
    <row r="523">
      <c r="B523" s="10"/>
      <c r="C523" s="10"/>
      <c r="F523" s="10"/>
    </row>
    <row r="524">
      <c r="B524" s="10"/>
      <c r="C524" s="10"/>
      <c r="F524" s="10"/>
    </row>
    <row r="525">
      <c r="B525" s="10"/>
      <c r="C525" s="10"/>
      <c r="F525" s="10"/>
    </row>
    <row r="526">
      <c r="B526" s="10"/>
      <c r="C526" s="10"/>
      <c r="F526" s="10"/>
    </row>
    <row r="527">
      <c r="B527" s="10"/>
      <c r="C527" s="10"/>
      <c r="F527" s="10"/>
    </row>
    <row r="528">
      <c r="B528" s="10"/>
      <c r="C528" s="10"/>
      <c r="F528" s="10"/>
    </row>
    <row r="529">
      <c r="B529" s="10"/>
      <c r="C529" s="10"/>
      <c r="F529" s="10"/>
    </row>
    <row r="530">
      <c r="B530" s="10"/>
      <c r="C530" s="10"/>
      <c r="F530" s="10"/>
    </row>
    <row r="531">
      <c r="B531" s="10"/>
      <c r="C531" s="10"/>
      <c r="F531" s="10"/>
    </row>
    <row r="532">
      <c r="B532" s="10"/>
      <c r="C532" s="10"/>
      <c r="F532" s="10"/>
    </row>
    <row r="533">
      <c r="B533" s="10"/>
      <c r="C533" s="10"/>
      <c r="F533" s="10"/>
    </row>
    <row r="534">
      <c r="B534" s="10"/>
      <c r="C534" s="10"/>
      <c r="F534" s="10"/>
    </row>
    <row r="535">
      <c r="B535" s="10"/>
      <c r="C535" s="10"/>
      <c r="F535" s="10"/>
    </row>
    <row r="536">
      <c r="B536" s="10"/>
      <c r="C536" s="10"/>
      <c r="F536" s="10"/>
    </row>
    <row r="537">
      <c r="B537" s="10"/>
      <c r="C537" s="10"/>
      <c r="F537" s="10"/>
    </row>
    <row r="538">
      <c r="B538" s="10"/>
      <c r="C538" s="10"/>
      <c r="F538" s="10"/>
    </row>
    <row r="539">
      <c r="B539" s="10"/>
      <c r="C539" s="10"/>
      <c r="F539" s="10"/>
    </row>
    <row r="540">
      <c r="B540" s="10"/>
      <c r="C540" s="10"/>
      <c r="F540" s="10"/>
    </row>
    <row r="541">
      <c r="B541" s="10"/>
      <c r="C541" s="10"/>
      <c r="F541" s="10"/>
    </row>
    <row r="542">
      <c r="B542" s="10"/>
      <c r="C542" s="10"/>
      <c r="F542" s="10"/>
    </row>
    <row r="543">
      <c r="B543" s="10"/>
      <c r="C543" s="10"/>
      <c r="F543" s="10"/>
    </row>
    <row r="544">
      <c r="B544" s="10"/>
      <c r="C544" s="10"/>
      <c r="F544" s="10"/>
    </row>
    <row r="545">
      <c r="B545" s="10"/>
      <c r="C545" s="10"/>
      <c r="F545" s="10"/>
    </row>
    <row r="546">
      <c r="B546" s="10"/>
      <c r="C546" s="10"/>
      <c r="F546" s="10"/>
    </row>
    <row r="547">
      <c r="B547" s="10"/>
      <c r="C547" s="10"/>
      <c r="F547" s="10"/>
    </row>
    <row r="548">
      <c r="B548" s="10"/>
      <c r="C548" s="10"/>
      <c r="F548" s="10"/>
    </row>
    <row r="549">
      <c r="B549" s="10"/>
      <c r="C549" s="10"/>
      <c r="F549" s="10"/>
    </row>
    <row r="550">
      <c r="B550" s="10"/>
      <c r="C550" s="10"/>
      <c r="F550" s="10"/>
    </row>
    <row r="551">
      <c r="B551" s="10"/>
      <c r="C551" s="10"/>
      <c r="F551" s="10"/>
    </row>
    <row r="552">
      <c r="B552" s="10"/>
      <c r="C552" s="10"/>
      <c r="F552" s="10"/>
    </row>
    <row r="553">
      <c r="B553" s="10"/>
      <c r="C553" s="10"/>
      <c r="F553" s="10"/>
    </row>
    <row r="554">
      <c r="B554" s="10"/>
      <c r="C554" s="10"/>
      <c r="F554" s="10"/>
    </row>
    <row r="555">
      <c r="B555" s="10"/>
      <c r="C555" s="10"/>
      <c r="F555" s="10"/>
    </row>
    <row r="556">
      <c r="B556" s="10"/>
      <c r="C556" s="10"/>
      <c r="F556" s="10"/>
    </row>
    <row r="557">
      <c r="B557" s="10"/>
      <c r="C557" s="10"/>
      <c r="F557" s="10"/>
    </row>
    <row r="558">
      <c r="B558" s="10"/>
      <c r="C558" s="10"/>
      <c r="F558" s="10"/>
    </row>
    <row r="559">
      <c r="B559" s="10"/>
      <c r="C559" s="10"/>
      <c r="F559" s="10"/>
    </row>
    <row r="560">
      <c r="B560" s="10"/>
      <c r="C560" s="10"/>
      <c r="F560" s="10"/>
    </row>
    <row r="561">
      <c r="B561" s="10"/>
      <c r="C561" s="10"/>
      <c r="F561" s="10"/>
    </row>
    <row r="562">
      <c r="B562" s="10"/>
      <c r="C562" s="10"/>
      <c r="F562" s="10"/>
    </row>
    <row r="563">
      <c r="B563" s="10"/>
      <c r="C563" s="10"/>
      <c r="F563" s="10"/>
    </row>
    <row r="564">
      <c r="B564" s="10"/>
      <c r="C564" s="10"/>
      <c r="F564" s="10"/>
    </row>
    <row r="565">
      <c r="B565" s="10"/>
      <c r="C565" s="10"/>
      <c r="F565" s="10"/>
    </row>
    <row r="566">
      <c r="B566" s="10"/>
      <c r="C566" s="10"/>
      <c r="F566" s="10"/>
    </row>
    <row r="567">
      <c r="B567" s="10"/>
      <c r="C567" s="10"/>
      <c r="F567" s="10"/>
    </row>
    <row r="568">
      <c r="B568" s="10"/>
      <c r="C568" s="10"/>
      <c r="F568" s="10"/>
    </row>
    <row r="569">
      <c r="B569" s="10"/>
      <c r="C569" s="10"/>
      <c r="F569" s="10"/>
    </row>
    <row r="570">
      <c r="B570" s="10"/>
      <c r="C570" s="10"/>
      <c r="F570" s="10"/>
    </row>
    <row r="571">
      <c r="B571" s="10"/>
      <c r="C571" s="10"/>
      <c r="F571" s="10"/>
    </row>
    <row r="572">
      <c r="B572" s="10"/>
      <c r="C572" s="10"/>
      <c r="F572" s="10"/>
    </row>
    <row r="573">
      <c r="B573" s="10"/>
      <c r="C573" s="10"/>
      <c r="F573" s="10"/>
    </row>
    <row r="574">
      <c r="B574" s="10"/>
      <c r="C574" s="10"/>
      <c r="F574" s="10"/>
    </row>
    <row r="575">
      <c r="B575" s="10"/>
      <c r="C575" s="10"/>
      <c r="F575" s="10"/>
    </row>
    <row r="576">
      <c r="B576" s="10"/>
      <c r="C576" s="10"/>
      <c r="F576" s="10"/>
    </row>
    <row r="577">
      <c r="B577" s="10"/>
      <c r="C577" s="10"/>
      <c r="F577" s="10"/>
    </row>
    <row r="578">
      <c r="B578" s="10"/>
      <c r="C578" s="10"/>
      <c r="F578" s="10"/>
    </row>
    <row r="579">
      <c r="B579" s="10"/>
      <c r="C579" s="10"/>
      <c r="F579" s="10"/>
    </row>
    <row r="580">
      <c r="B580" s="10"/>
      <c r="C580" s="10"/>
      <c r="F580" s="10"/>
    </row>
    <row r="581">
      <c r="B581" s="10"/>
      <c r="C581" s="10"/>
      <c r="F581" s="10"/>
    </row>
    <row r="582">
      <c r="B582" s="10"/>
      <c r="C582" s="10"/>
      <c r="F582" s="10"/>
    </row>
    <row r="583">
      <c r="B583" s="10"/>
      <c r="C583" s="10"/>
      <c r="F583" s="10"/>
    </row>
    <row r="584">
      <c r="B584" s="10"/>
      <c r="C584" s="10"/>
      <c r="F584" s="10"/>
    </row>
    <row r="585">
      <c r="B585" s="10"/>
      <c r="C585" s="10"/>
      <c r="F585" s="10"/>
    </row>
    <row r="586">
      <c r="B586" s="10"/>
      <c r="C586" s="10"/>
      <c r="F586" s="10"/>
    </row>
    <row r="587">
      <c r="B587" s="10"/>
      <c r="C587" s="10"/>
      <c r="F587" s="10"/>
    </row>
    <row r="588">
      <c r="B588" s="10"/>
      <c r="C588" s="10"/>
      <c r="F588" s="10"/>
    </row>
    <row r="589">
      <c r="B589" s="10"/>
      <c r="C589" s="10"/>
      <c r="F589" s="10"/>
    </row>
    <row r="590">
      <c r="B590" s="10"/>
      <c r="C590" s="10"/>
      <c r="F590" s="10"/>
    </row>
    <row r="591">
      <c r="B591" s="10"/>
      <c r="C591" s="10"/>
      <c r="F591" s="10"/>
    </row>
    <row r="592">
      <c r="B592" s="10"/>
      <c r="C592" s="10"/>
      <c r="F592" s="10"/>
    </row>
    <row r="593">
      <c r="B593" s="10"/>
      <c r="C593" s="10"/>
      <c r="F593" s="10"/>
    </row>
    <row r="594">
      <c r="B594" s="10"/>
      <c r="C594" s="10"/>
      <c r="F594" s="10"/>
    </row>
    <row r="595">
      <c r="B595" s="10"/>
      <c r="C595" s="10"/>
      <c r="F595" s="10"/>
    </row>
    <row r="596">
      <c r="B596" s="10"/>
      <c r="C596" s="10"/>
      <c r="F596" s="10"/>
    </row>
    <row r="597">
      <c r="B597" s="10"/>
      <c r="C597" s="10"/>
      <c r="F597" s="10"/>
    </row>
    <row r="598">
      <c r="B598" s="10"/>
      <c r="C598" s="10"/>
      <c r="F598" s="10"/>
    </row>
    <row r="599">
      <c r="B599" s="10"/>
      <c r="C599" s="10"/>
      <c r="F599" s="10"/>
    </row>
    <row r="600">
      <c r="B600" s="10"/>
      <c r="C600" s="10"/>
      <c r="F600" s="10"/>
    </row>
    <row r="601">
      <c r="B601" s="10"/>
      <c r="C601" s="10"/>
      <c r="F601" s="10"/>
    </row>
    <row r="602">
      <c r="B602" s="10"/>
      <c r="C602" s="10"/>
      <c r="F602" s="10"/>
    </row>
    <row r="603">
      <c r="B603" s="10"/>
      <c r="C603" s="10"/>
      <c r="F603" s="10"/>
    </row>
    <row r="604">
      <c r="B604" s="10"/>
      <c r="C604" s="10"/>
      <c r="F604" s="10"/>
    </row>
    <row r="605">
      <c r="B605" s="10"/>
      <c r="C605" s="10"/>
      <c r="F605" s="10"/>
    </row>
    <row r="606">
      <c r="B606" s="10"/>
      <c r="C606" s="10"/>
      <c r="F606" s="10"/>
    </row>
    <row r="607">
      <c r="B607" s="10"/>
      <c r="C607" s="10"/>
      <c r="F607" s="10"/>
    </row>
    <row r="608">
      <c r="B608" s="10"/>
      <c r="C608" s="10"/>
      <c r="F608" s="10"/>
    </row>
    <row r="609">
      <c r="B609" s="10"/>
      <c r="C609" s="10"/>
      <c r="F609" s="10"/>
    </row>
    <row r="610">
      <c r="B610" s="10"/>
      <c r="C610" s="10"/>
      <c r="F610" s="10"/>
    </row>
    <row r="611">
      <c r="B611" s="10"/>
      <c r="C611" s="10"/>
      <c r="F611" s="10"/>
    </row>
    <row r="612">
      <c r="B612" s="10"/>
      <c r="C612" s="10"/>
      <c r="F612" s="10"/>
    </row>
    <row r="613">
      <c r="B613" s="10"/>
      <c r="C613" s="10"/>
      <c r="F613" s="10"/>
    </row>
    <row r="614">
      <c r="B614" s="10"/>
      <c r="C614" s="10"/>
      <c r="F614" s="10"/>
    </row>
    <row r="615">
      <c r="B615" s="10"/>
      <c r="C615" s="10"/>
      <c r="F615" s="10"/>
    </row>
    <row r="616">
      <c r="B616" s="10"/>
      <c r="C616" s="10"/>
      <c r="F616" s="10"/>
    </row>
    <row r="617">
      <c r="B617" s="10"/>
      <c r="C617" s="10"/>
      <c r="F617" s="10"/>
    </row>
    <row r="618">
      <c r="B618" s="10"/>
      <c r="C618" s="10"/>
      <c r="F618" s="10"/>
    </row>
    <row r="619">
      <c r="B619" s="10"/>
      <c r="C619" s="10"/>
      <c r="F619" s="10"/>
    </row>
    <row r="620">
      <c r="B620" s="10"/>
      <c r="C620" s="10"/>
      <c r="F620" s="10"/>
    </row>
    <row r="621">
      <c r="B621" s="10"/>
      <c r="C621" s="10"/>
      <c r="F621" s="10"/>
    </row>
    <row r="622">
      <c r="B622" s="10"/>
      <c r="C622" s="10"/>
      <c r="F622" s="10"/>
    </row>
    <row r="623">
      <c r="B623" s="10"/>
      <c r="C623" s="10"/>
      <c r="F623" s="10"/>
    </row>
    <row r="624">
      <c r="B624" s="10"/>
      <c r="C624" s="10"/>
      <c r="F624" s="10"/>
    </row>
    <row r="625">
      <c r="B625" s="10"/>
      <c r="C625" s="10"/>
      <c r="F625" s="10"/>
    </row>
    <row r="626">
      <c r="B626" s="10"/>
      <c r="C626" s="10"/>
      <c r="F626" s="10"/>
    </row>
    <row r="627">
      <c r="B627" s="10"/>
      <c r="C627" s="10"/>
      <c r="F627" s="10"/>
    </row>
    <row r="628">
      <c r="B628" s="10"/>
      <c r="C628" s="10"/>
      <c r="F628" s="10"/>
    </row>
    <row r="629">
      <c r="B629" s="10"/>
      <c r="C629" s="10"/>
      <c r="F629" s="10"/>
    </row>
    <row r="630">
      <c r="B630" s="10"/>
      <c r="C630" s="10"/>
      <c r="F630" s="10"/>
    </row>
    <row r="631">
      <c r="B631" s="10"/>
      <c r="C631" s="10"/>
      <c r="F631" s="10"/>
    </row>
    <row r="632">
      <c r="B632" s="10"/>
      <c r="C632" s="10"/>
      <c r="F632" s="10"/>
    </row>
    <row r="633">
      <c r="B633" s="10"/>
      <c r="C633" s="10"/>
      <c r="F633" s="10"/>
    </row>
    <row r="634">
      <c r="B634" s="10"/>
      <c r="C634" s="10"/>
      <c r="F634" s="10"/>
    </row>
    <row r="635">
      <c r="B635" s="10"/>
      <c r="C635" s="10"/>
      <c r="F635" s="10"/>
    </row>
    <row r="636">
      <c r="B636" s="10"/>
      <c r="C636" s="10"/>
      <c r="F636" s="10"/>
    </row>
    <row r="637">
      <c r="B637" s="10"/>
      <c r="C637" s="10"/>
      <c r="F637" s="10"/>
    </row>
    <row r="638">
      <c r="B638" s="10"/>
      <c r="C638" s="10"/>
      <c r="F638" s="10"/>
    </row>
    <row r="639">
      <c r="B639" s="10"/>
      <c r="C639" s="10"/>
      <c r="F639" s="10"/>
    </row>
    <row r="640">
      <c r="B640" s="10"/>
      <c r="C640" s="10"/>
      <c r="F640" s="10"/>
    </row>
    <row r="641">
      <c r="B641" s="10"/>
      <c r="C641" s="10"/>
      <c r="F641" s="10"/>
    </row>
    <row r="642">
      <c r="B642" s="10"/>
      <c r="C642" s="10"/>
      <c r="F642" s="10"/>
    </row>
    <row r="643">
      <c r="B643" s="10"/>
      <c r="C643" s="10"/>
      <c r="F643" s="10"/>
    </row>
    <row r="644">
      <c r="B644" s="10"/>
      <c r="C644" s="10"/>
      <c r="F644" s="10"/>
    </row>
    <row r="645">
      <c r="B645" s="10"/>
      <c r="C645" s="10"/>
      <c r="F645" s="10"/>
    </row>
    <row r="646">
      <c r="B646" s="10"/>
      <c r="C646" s="10"/>
      <c r="F646" s="10"/>
    </row>
    <row r="647">
      <c r="B647" s="10"/>
      <c r="C647" s="10"/>
      <c r="F647" s="10"/>
    </row>
    <row r="648">
      <c r="B648" s="10"/>
      <c r="C648" s="10"/>
      <c r="F648" s="10"/>
    </row>
    <row r="649">
      <c r="B649" s="10"/>
      <c r="C649" s="10"/>
      <c r="F649" s="10"/>
    </row>
    <row r="650">
      <c r="B650" s="10"/>
      <c r="C650" s="10"/>
      <c r="F650" s="10"/>
    </row>
    <row r="651">
      <c r="B651" s="10"/>
      <c r="C651" s="10"/>
      <c r="F651" s="10"/>
    </row>
    <row r="652">
      <c r="B652" s="10"/>
      <c r="C652" s="10"/>
      <c r="F652" s="10"/>
    </row>
    <row r="653">
      <c r="B653" s="10"/>
      <c r="C653" s="10"/>
      <c r="F653" s="10"/>
    </row>
    <row r="654">
      <c r="B654" s="10"/>
      <c r="C654" s="10"/>
      <c r="F654" s="10"/>
    </row>
    <row r="655">
      <c r="B655" s="10"/>
      <c r="C655" s="10"/>
      <c r="F655" s="10"/>
    </row>
    <row r="656">
      <c r="B656" s="10"/>
      <c r="C656" s="10"/>
      <c r="F656" s="10"/>
    </row>
    <row r="657">
      <c r="B657" s="10"/>
      <c r="C657" s="10"/>
      <c r="F657" s="10"/>
    </row>
    <row r="658">
      <c r="B658" s="10"/>
      <c r="C658" s="10"/>
      <c r="F658" s="10"/>
    </row>
    <row r="659">
      <c r="B659" s="10"/>
      <c r="C659" s="10"/>
      <c r="F659" s="10"/>
    </row>
    <row r="660">
      <c r="B660" s="10"/>
      <c r="C660" s="10"/>
      <c r="F660" s="10"/>
    </row>
    <row r="661">
      <c r="B661" s="10"/>
      <c r="C661" s="10"/>
      <c r="F661" s="10"/>
    </row>
    <row r="662">
      <c r="B662" s="10"/>
      <c r="C662" s="10"/>
      <c r="F662" s="10"/>
    </row>
    <row r="663">
      <c r="B663" s="10"/>
      <c r="C663" s="10"/>
      <c r="F663" s="10"/>
    </row>
    <row r="664">
      <c r="B664" s="10"/>
      <c r="C664" s="10"/>
      <c r="F664" s="10"/>
    </row>
    <row r="665">
      <c r="B665" s="10"/>
      <c r="C665" s="10"/>
      <c r="F665" s="10"/>
    </row>
    <row r="666">
      <c r="B666" s="10"/>
      <c r="C666" s="10"/>
      <c r="F666" s="10"/>
    </row>
    <row r="667">
      <c r="B667" s="10"/>
      <c r="C667" s="10"/>
      <c r="F667" s="10"/>
    </row>
    <row r="668">
      <c r="B668" s="10"/>
      <c r="C668" s="10"/>
      <c r="F668" s="10"/>
    </row>
    <row r="669">
      <c r="B669" s="10"/>
      <c r="C669" s="10"/>
      <c r="F669" s="10"/>
    </row>
    <row r="670">
      <c r="B670" s="10"/>
      <c r="C670" s="10"/>
      <c r="F670" s="10"/>
    </row>
    <row r="671">
      <c r="B671" s="10"/>
      <c r="C671" s="10"/>
      <c r="F671" s="10"/>
    </row>
    <row r="672">
      <c r="B672" s="10"/>
      <c r="C672" s="10"/>
      <c r="F672" s="10"/>
    </row>
    <row r="673">
      <c r="B673" s="10"/>
      <c r="C673" s="10"/>
      <c r="F673" s="10"/>
    </row>
    <row r="674">
      <c r="B674" s="10"/>
      <c r="C674" s="10"/>
      <c r="F674" s="10"/>
    </row>
    <row r="675">
      <c r="B675" s="10"/>
      <c r="C675" s="10"/>
      <c r="F675" s="10"/>
    </row>
    <row r="676">
      <c r="B676" s="10"/>
      <c r="C676" s="10"/>
      <c r="F676" s="10"/>
    </row>
    <row r="677">
      <c r="B677" s="10"/>
      <c r="C677" s="10"/>
      <c r="F677" s="10"/>
    </row>
    <row r="678">
      <c r="B678" s="10"/>
      <c r="C678" s="10"/>
      <c r="F678" s="10"/>
    </row>
    <row r="679">
      <c r="B679" s="10"/>
      <c r="C679" s="10"/>
      <c r="F679" s="10"/>
    </row>
    <row r="680">
      <c r="B680" s="10"/>
      <c r="C680" s="10"/>
      <c r="F680" s="10"/>
    </row>
    <row r="681">
      <c r="B681" s="10"/>
      <c r="C681" s="10"/>
      <c r="F681" s="10"/>
    </row>
    <row r="682">
      <c r="B682" s="10"/>
      <c r="C682" s="10"/>
      <c r="F682" s="10"/>
    </row>
    <row r="683">
      <c r="B683" s="10"/>
      <c r="C683" s="10"/>
      <c r="F683" s="10"/>
    </row>
    <row r="684">
      <c r="B684" s="10"/>
      <c r="C684" s="10"/>
      <c r="F684" s="10"/>
    </row>
    <row r="685">
      <c r="B685" s="10"/>
      <c r="C685" s="10"/>
      <c r="F685" s="10"/>
    </row>
    <row r="686">
      <c r="B686" s="10"/>
      <c r="C686" s="10"/>
      <c r="F686" s="10"/>
    </row>
    <row r="687">
      <c r="B687" s="10"/>
      <c r="C687" s="10"/>
      <c r="F687" s="10"/>
    </row>
    <row r="688">
      <c r="B688" s="10"/>
      <c r="C688" s="10"/>
      <c r="F688" s="10"/>
    </row>
    <row r="689">
      <c r="B689" s="10"/>
      <c r="C689" s="10"/>
      <c r="F689" s="10"/>
    </row>
    <row r="690">
      <c r="B690" s="10"/>
      <c r="C690" s="10"/>
      <c r="F690" s="10"/>
    </row>
    <row r="691">
      <c r="B691" s="10"/>
      <c r="C691" s="10"/>
      <c r="F691" s="10"/>
    </row>
    <row r="692">
      <c r="B692" s="10"/>
      <c r="C692" s="10"/>
      <c r="F692" s="10"/>
    </row>
    <row r="693">
      <c r="B693" s="10"/>
      <c r="C693" s="10"/>
      <c r="F693" s="10"/>
    </row>
    <row r="694">
      <c r="B694" s="10"/>
      <c r="C694" s="10"/>
      <c r="F694" s="10"/>
    </row>
    <row r="695">
      <c r="B695" s="10"/>
      <c r="C695" s="10"/>
      <c r="F695" s="10"/>
    </row>
    <row r="696">
      <c r="B696" s="10"/>
      <c r="C696" s="10"/>
      <c r="F696" s="10"/>
    </row>
    <row r="697">
      <c r="B697" s="10"/>
      <c r="C697" s="10"/>
      <c r="F697" s="10"/>
    </row>
    <row r="698">
      <c r="B698" s="10"/>
      <c r="C698" s="10"/>
      <c r="F698" s="10"/>
    </row>
    <row r="699">
      <c r="B699" s="10"/>
      <c r="C699" s="10"/>
      <c r="F699" s="10"/>
    </row>
    <row r="700">
      <c r="B700" s="10"/>
      <c r="C700" s="10"/>
      <c r="F700" s="10"/>
    </row>
    <row r="701">
      <c r="B701" s="10"/>
      <c r="C701" s="10"/>
      <c r="F701" s="10"/>
    </row>
    <row r="702">
      <c r="B702" s="10"/>
      <c r="C702" s="10"/>
      <c r="F702" s="10"/>
    </row>
    <row r="703">
      <c r="B703" s="10"/>
      <c r="C703" s="10"/>
      <c r="F703" s="10"/>
    </row>
    <row r="704">
      <c r="B704" s="10"/>
      <c r="C704" s="10"/>
      <c r="F704" s="10"/>
    </row>
    <row r="705">
      <c r="B705" s="10"/>
      <c r="C705" s="10"/>
      <c r="F705" s="10"/>
    </row>
    <row r="706">
      <c r="B706" s="10"/>
      <c r="C706" s="10"/>
      <c r="F706" s="10"/>
    </row>
    <row r="707">
      <c r="B707" s="10"/>
      <c r="C707" s="10"/>
      <c r="F707" s="10"/>
    </row>
    <row r="708">
      <c r="B708" s="10"/>
      <c r="C708" s="10"/>
      <c r="F708" s="10"/>
    </row>
    <row r="709">
      <c r="B709" s="10"/>
      <c r="C709" s="10"/>
      <c r="F709" s="10"/>
    </row>
    <row r="710">
      <c r="B710" s="10"/>
      <c r="C710" s="10"/>
      <c r="F710" s="10"/>
    </row>
    <row r="711">
      <c r="B711" s="10"/>
      <c r="C711" s="10"/>
      <c r="F711" s="10"/>
    </row>
    <row r="712">
      <c r="B712" s="10"/>
      <c r="C712" s="10"/>
      <c r="F712" s="10"/>
    </row>
    <row r="713">
      <c r="B713" s="10"/>
      <c r="C713" s="10"/>
      <c r="F713" s="10"/>
    </row>
    <row r="714">
      <c r="B714" s="10"/>
      <c r="C714" s="10"/>
      <c r="F714" s="10"/>
    </row>
    <row r="715">
      <c r="B715" s="10"/>
      <c r="C715" s="10"/>
      <c r="F715" s="10"/>
    </row>
    <row r="716">
      <c r="B716" s="10"/>
      <c r="C716" s="10"/>
      <c r="F716" s="10"/>
    </row>
    <row r="717">
      <c r="B717" s="10"/>
      <c r="C717" s="10"/>
      <c r="F717" s="10"/>
    </row>
    <row r="718">
      <c r="B718" s="10"/>
      <c r="C718" s="10"/>
      <c r="F718" s="10"/>
    </row>
    <row r="719">
      <c r="B719" s="10"/>
      <c r="C719" s="10"/>
      <c r="F719" s="10"/>
    </row>
    <row r="720">
      <c r="B720" s="10"/>
      <c r="C720" s="10"/>
      <c r="F720" s="10"/>
    </row>
    <row r="721">
      <c r="B721" s="10"/>
      <c r="C721" s="10"/>
      <c r="F721" s="10"/>
    </row>
    <row r="722">
      <c r="B722" s="10"/>
      <c r="C722" s="10"/>
      <c r="F722" s="10"/>
    </row>
    <row r="723">
      <c r="B723" s="10"/>
      <c r="C723" s="10"/>
      <c r="F723" s="10"/>
    </row>
    <row r="724">
      <c r="B724" s="10"/>
      <c r="C724" s="10"/>
      <c r="F724" s="10"/>
    </row>
    <row r="725">
      <c r="B725" s="10"/>
      <c r="C725" s="10"/>
      <c r="F725" s="10"/>
    </row>
    <row r="726">
      <c r="B726" s="10"/>
      <c r="C726" s="10"/>
      <c r="F726" s="10"/>
    </row>
    <row r="727">
      <c r="B727" s="10"/>
      <c r="C727" s="10"/>
      <c r="F727" s="10"/>
    </row>
    <row r="728">
      <c r="B728" s="10"/>
      <c r="C728" s="10"/>
      <c r="F728" s="10"/>
    </row>
    <row r="729">
      <c r="B729" s="10"/>
      <c r="C729" s="10"/>
      <c r="F729" s="10"/>
    </row>
    <row r="730">
      <c r="B730" s="10"/>
      <c r="C730" s="10"/>
      <c r="F730" s="10"/>
    </row>
    <row r="731">
      <c r="B731" s="10"/>
      <c r="C731" s="10"/>
      <c r="F731" s="10"/>
    </row>
    <row r="732">
      <c r="B732" s="10"/>
      <c r="C732" s="10"/>
      <c r="F732" s="10"/>
    </row>
    <row r="733">
      <c r="B733" s="10"/>
      <c r="C733" s="10"/>
      <c r="F733" s="10"/>
    </row>
    <row r="734">
      <c r="B734" s="10"/>
      <c r="C734" s="10"/>
      <c r="F734" s="10"/>
    </row>
    <row r="735">
      <c r="B735" s="10"/>
      <c r="C735" s="10"/>
      <c r="F735" s="10"/>
    </row>
    <row r="736">
      <c r="B736" s="10"/>
      <c r="C736" s="10"/>
      <c r="F736" s="10"/>
    </row>
    <row r="737">
      <c r="B737" s="10"/>
      <c r="C737" s="10"/>
      <c r="F737" s="10"/>
    </row>
    <row r="738">
      <c r="B738" s="10"/>
      <c r="C738" s="10"/>
      <c r="F738" s="10"/>
    </row>
    <row r="739">
      <c r="B739" s="10"/>
      <c r="C739" s="10"/>
      <c r="F739" s="10"/>
    </row>
    <row r="740">
      <c r="B740" s="10"/>
      <c r="C740" s="10"/>
      <c r="F740" s="10"/>
    </row>
    <row r="741">
      <c r="B741" s="10"/>
      <c r="C741" s="10"/>
      <c r="F741" s="10"/>
    </row>
    <row r="742">
      <c r="B742" s="10"/>
      <c r="C742" s="10"/>
      <c r="F742" s="10"/>
    </row>
    <row r="743">
      <c r="B743" s="10"/>
      <c r="C743" s="10"/>
      <c r="F743" s="10"/>
    </row>
    <row r="744">
      <c r="B744" s="10"/>
      <c r="C744" s="10"/>
      <c r="F744" s="10"/>
    </row>
    <row r="745">
      <c r="B745" s="10"/>
      <c r="C745" s="10"/>
      <c r="F745" s="10"/>
    </row>
    <row r="746">
      <c r="B746" s="10"/>
      <c r="C746" s="10"/>
      <c r="F746" s="10"/>
    </row>
    <row r="747">
      <c r="B747" s="10"/>
      <c r="C747" s="10"/>
      <c r="F747" s="10"/>
    </row>
    <row r="748">
      <c r="B748" s="10"/>
      <c r="C748" s="10"/>
      <c r="F748" s="10"/>
    </row>
    <row r="749">
      <c r="B749" s="10"/>
      <c r="C749" s="10"/>
      <c r="F749" s="10"/>
    </row>
    <row r="750">
      <c r="B750" s="10"/>
      <c r="C750" s="10"/>
      <c r="F750" s="10"/>
    </row>
    <row r="751">
      <c r="B751" s="10"/>
      <c r="C751" s="10"/>
      <c r="F751" s="10"/>
    </row>
    <row r="752">
      <c r="B752" s="10"/>
      <c r="C752" s="10"/>
      <c r="F752" s="10"/>
    </row>
    <row r="753">
      <c r="B753" s="10"/>
      <c r="C753" s="10"/>
      <c r="F753" s="10"/>
    </row>
    <row r="754">
      <c r="B754" s="10"/>
      <c r="C754" s="10"/>
      <c r="F754" s="10"/>
    </row>
    <row r="755">
      <c r="B755" s="10"/>
      <c r="C755" s="10"/>
      <c r="F755" s="10"/>
    </row>
    <row r="756">
      <c r="B756" s="10"/>
      <c r="C756" s="10"/>
      <c r="F756" s="10"/>
    </row>
    <row r="757">
      <c r="B757" s="10"/>
      <c r="C757" s="10"/>
      <c r="F757" s="10"/>
    </row>
    <row r="758">
      <c r="B758" s="10"/>
      <c r="C758" s="10"/>
      <c r="F758" s="10"/>
    </row>
    <row r="759">
      <c r="B759" s="10"/>
      <c r="C759" s="10"/>
      <c r="F759" s="10"/>
    </row>
    <row r="760">
      <c r="B760" s="10"/>
      <c r="C760" s="10"/>
      <c r="F760" s="10"/>
    </row>
    <row r="761">
      <c r="B761" s="10"/>
      <c r="C761" s="10"/>
      <c r="F761" s="10"/>
    </row>
    <row r="762">
      <c r="B762" s="10"/>
      <c r="C762" s="10"/>
      <c r="F762" s="10"/>
    </row>
    <row r="763">
      <c r="B763" s="10"/>
      <c r="C763" s="10"/>
      <c r="F763" s="10"/>
    </row>
    <row r="764">
      <c r="B764" s="10"/>
      <c r="C764" s="10"/>
      <c r="F764" s="10"/>
    </row>
    <row r="765">
      <c r="B765" s="10"/>
      <c r="C765" s="10"/>
      <c r="F765" s="10"/>
    </row>
    <row r="766">
      <c r="B766" s="10"/>
      <c r="C766" s="10"/>
      <c r="F766" s="10"/>
    </row>
    <row r="767">
      <c r="B767" s="10"/>
      <c r="C767" s="10"/>
      <c r="F767" s="10"/>
    </row>
    <row r="768">
      <c r="B768" s="10"/>
      <c r="C768" s="10"/>
      <c r="F768" s="10"/>
    </row>
    <row r="769">
      <c r="B769" s="10"/>
      <c r="C769" s="10"/>
      <c r="F769" s="10"/>
    </row>
    <row r="770">
      <c r="B770" s="10"/>
      <c r="C770" s="10"/>
      <c r="F770" s="10"/>
    </row>
    <row r="771">
      <c r="B771" s="10"/>
      <c r="C771" s="10"/>
      <c r="F771" s="10"/>
    </row>
    <row r="772">
      <c r="B772" s="10"/>
      <c r="C772" s="10"/>
      <c r="F772" s="10"/>
    </row>
    <row r="773">
      <c r="B773" s="10"/>
      <c r="C773" s="10"/>
      <c r="F773" s="10"/>
    </row>
    <row r="774">
      <c r="B774" s="10"/>
      <c r="C774" s="10"/>
      <c r="F774" s="10"/>
    </row>
    <row r="775">
      <c r="B775" s="10"/>
      <c r="C775" s="10"/>
      <c r="F775" s="10"/>
    </row>
    <row r="776">
      <c r="B776" s="10"/>
      <c r="C776" s="10"/>
      <c r="F776" s="10"/>
    </row>
    <row r="777">
      <c r="B777" s="10"/>
      <c r="C777" s="10"/>
      <c r="F777" s="10"/>
    </row>
    <row r="778">
      <c r="B778" s="10"/>
      <c r="C778" s="10"/>
      <c r="F778" s="10"/>
    </row>
    <row r="779">
      <c r="B779" s="10"/>
      <c r="C779" s="10"/>
      <c r="F779" s="10"/>
    </row>
    <row r="780">
      <c r="B780" s="10"/>
      <c r="C780" s="10"/>
      <c r="F780" s="10"/>
    </row>
    <row r="781">
      <c r="B781" s="10"/>
      <c r="C781" s="10"/>
      <c r="F781" s="10"/>
    </row>
    <row r="782">
      <c r="B782" s="10"/>
      <c r="C782" s="10"/>
      <c r="F782" s="10"/>
    </row>
    <row r="783">
      <c r="B783" s="10"/>
      <c r="C783" s="10"/>
      <c r="F783" s="10"/>
    </row>
    <row r="784">
      <c r="B784" s="10"/>
      <c r="C784" s="10"/>
      <c r="F784" s="10"/>
    </row>
    <row r="785">
      <c r="B785" s="10"/>
      <c r="C785" s="10"/>
      <c r="F785" s="10"/>
    </row>
    <row r="786">
      <c r="B786" s="10"/>
      <c r="C786" s="10"/>
      <c r="F786" s="10"/>
    </row>
    <row r="787">
      <c r="B787" s="10"/>
      <c r="C787" s="10"/>
      <c r="F787" s="10"/>
    </row>
    <row r="788">
      <c r="B788" s="10"/>
      <c r="C788" s="10"/>
      <c r="F788" s="10"/>
    </row>
    <row r="789">
      <c r="B789" s="10"/>
      <c r="C789" s="10"/>
      <c r="F789" s="10"/>
    </row>
    <row r="790">
      <c r="B790" s="10"/>
      <c r="C790" s="10"/>
      <c r="F790" s="10"/>
    </row>
    <row r="791">
      <c r="B791" s="10"/>
      <c r="C791" s="10"/>
      <c r="F791" s="10"/>
    </row>
    <row r="792">
      <c r="B792" s="10"/>
      <c r="C792" s="10"/>
      <c r="F792" s="10"/>
    </row>
    <row r="793">
      <c r="B793" s="10"/>
      <c r="C793" s="10"/>
      <c r="F793" s="10"/>
    </row>
    <row r="794">
      <c r="B794" s="10"/>
      <c r="C794" s="10"/>
      <c r="F794" s="10"/>
    </row>
    <row r="795">
      <c r="B795" s="10"/>
      <c r="C795" s="10"/>
      <c r="F795" s="10"/>
    </row>
    <row r="796">
      <c r="B796" s="10"/>
      <c r="C796" s="10"/>
      <c r="F796" s="10"/>
    </row>
    <row r="797">
      <c r="B797" s="10"/>
      <c r="C797" s="10"/>
      <c r="F797" s="10"/>
    </row>
    <row r="798">
      <c r="B798" s="10"/>
      <c r="C798" s="10"/>
      <c r="F798" s="10"/>
    </row>
    <row r="799">
      <c r="B799" s="10"/>
      <c r="C799" s="10"/>
      <c r="F799" s="10"/>
    </row>
    <row r="800">
      <c r="B800" s="10"/>
      <c r="C800" s="10"/>
      <c r="F800" s="10"/>
    </row>
    <row r="801">
      <c r="B801" s="10"/>
      <c r="C801" s="10"/>
      <c r="F801" s="10"/>
    </row>
    <row r="802">
      <c r="B802" s="10"/>
      <c r="C802" s="10"/>
      <c r="F802" s="10"/>
    </row>
    <row r="803">
      <c r="B803" s="10"/>
      <c r="C803" s="10"/>
      <c r="F803" s="10"/>
    </row>
    <row r="804">
      <c r="B804" s="10"/>
      <c r="C804" s="10"/>
      <c r="F804" s="10"/>
    </row>
    <row r="805">
      <c r="B805" s="10"/>
      <c r="C805" s="10"/>
      <c r="F805" s="10"/>
    </row>
    <row r="806">
      <c r="B806" s="10"/>
      <c r="C806" s="10"/>
      <c r="F806" s="10"/>
    </row>
    <row r="807">
      <c r="B807" s="10"/>
      <c r="C807" s="10"/>
      <c r="F807" s="10"/>
    </row>
    <row r="808">
      <c r="B808" s="10"/>
      <c r="C808" s="10"/>
      <c r="F808" s="10"/>
    </row>
    <row r="809">
      <c r="B809" s="10"/>
      <c r="C809" s="10"/>
      <c r="F809" s="10"/>
    </row>
    <row r="810">
      <c r="B810" s="10"/>
      <c r="C810" s="10"/>
      <c r="F810" s="10"/>
    </row>
    <row r="811">
      <c r="B811" s="10"/>
      <c r="C811" s="10"/>
      <c r="F811" s="10"/>
    </row>
    <row r="812">
      <c r="B812" s="10"/>
      <c r="C812" s="10"/>
      <c r="F812" s="10"/>
    </row>
    <row r="813">
      <c r="B813" s="10"/>
      <c r="C813" s="10"/>
      <c r="F813" s="10"/>
    </row>
    <row r="814">
      <c r="B814" s="10"/>
      <c r="C814" s="10"/>
      <c r="F814" s="10"/>
    </row>
    <row r="815">
      <c r="B815" s="10"/>
      <c r="C815" s="10"/>
      <c r="F815" s="10"/>
    </row>
    <row r="816">
      <c r="B816" s="10"/>
      <c r="C816" s="10"/>
      <c r="F816" s="10"/>
    </row>
    <row r="817">
      <c r="B817" s="10"/>
      <c r="C817" s="10"/>
      <c r="F817" s="10"/>
    </row>
    <row r="818">
      <c r="B818" s="10"/>
      <c r="C818" s="10"/>
      <c r="F818" s="10"/>
    </row>
    <row r="819">
      <c r="B819" s="10"/>
      <c r="C819" s="10"/>
      <c r="F819" s="10"/>
    </row>
    <row r="820">
      <c r="B820" s="10"/>
      <c r="C820" s="10"/>
      <c r="F820" s="10"/>
    </row>
    <row r="821">
      <c r="B821" s="10"/>
      <c r="C821" s="10"/>
      <c r="F821" s="10"/>
    </row>
    <row r="822">
      <c r="B822" s="10"/>
      <c r="C822" s="10"/>
      <c r="F822" s="10"/>
    </row>
    <row r="823">
      <c r="B823" s="10"/>
      <c r="C823" s="10"/>
      <c r="F823" s="10"/>
    </row>
    <row r="824">
      <c r="B824" s="10"/>
      <c r="C824" s="10"/>
      <c r="F824" s="10"/>
    </row>
    <row r="825">
      <c r="B825" s="10"/>
      <c r="C825" s="10"/>
      <c r="F825" s="10"/>
    </row>
    <row r="826">
      <c r="B826" s="10"/>
      <c r="C826" s="10"/>
      <c r="F826" s="10"/>
    </row>
    <row r="827">
      <c r="B827" s="10"/>
      <c r="C827" s="10"/>
      <c r="F827" s="10"/>
    </row>
    <row r="828">
      <c r="B828" s="10"/>
      <c r="C828" s="10"/>
      <c r="F828" s="10"/>
    </row>
    <row r="829">
      <c r="B829" s="10"/>
      <c r="C829" s="10"/>
      <c r="F829" s="10"/>
    </row>
    <row r="830">
      <c r="B830" s="10"/>
      <c r="C830" s="10"/>
      <c r="F830" s="10"/>
    </row>
    <row r="831">
      <c r="B831" s="10"/>
      <c r="C831" s="10"/>
      <c r="F831" s="10"/>
    </row>
    <row r="832">
      <c r="B832" s="10"/>
      <c r="C832" s="10"/>
      <c r="F832" s="10"/>
    </row>
    <row r="833">
      <c r="B833" s="10"/>
      <c r="C833" s="10"/>
      <c r="F833" s="10"/>
    </row>
    <row r="834">
      <c r="B834" s="10"/>
      <c r="C834" s="10"/>
      <c r="F834" s="10"/>
    </row>
    <row r="835">
      <c r="B835" s="10"/>
      <c r="C835" s="10"/>
      <c r="F835" s="10"/>
    </row>
    <row r="836">
      <c r="B836" s="10"/>
      <c r="C836" s="10"/>
      <c r="F836" s="10"/>
    </row>
    <row r="837">
      <c r="B837" s="10"/>
      <c r="C837" s="10"/>
      <c r="F837" s="10"/>
    </row>
    <row r="838">
      <c r="B838" s="10"/>
      <c r="C838" s="10"/>
      <c r="F838" s="10"/>
    </row>
    <row r="839">
      <c r="B839" s="10"/>
      <c r="C839" s="10"/>
      <c r="F839" s="10"/>
    </row>
    <row r="840">
      <c r="B840" s="10"/>
      <c r="C840" s="10"/>
      <c r="F840" s="10"/>
    </row>
    <row r="841">
      <c r="B841" s="10"/>
      <c r="C841" s="10"/>
      <c r="F841" s="10"/>
    </row>
    <row r="842">
      <c r="B842" s="10"/>
      <c r="C842" s="10"/>
      <c r="F842" s="10"/>
    </row>
    <row r="843">
      <c r="B843" s="10"/>
      <c r="C843" s="10"/>
      <c r="F843" s="10"/>
    </row>
    <row r="844">
      <c r="B844" s="10"/>
      <c r="C844" s="10"/>
      <c r="F844" s="10"/>
    </row>
    <row r="845">
      <c r="B845" s="10"/>
      <c r="C845" s="10"/>
      <c r="F845" s="10"/>
    </row>
    <row r="846">
      <c r="B846" s="10"/>
      <c r="C846" s="10"/>
      <c r="F846" s="10"/>
    </row>
    <row r="847">
      <c r="B847" s="10"/>
      <c r="C847" s="10"/>
      <c r="F847" s="10"/>
    </row>
    <row r="848">
      <c r="B848" s="10"/>
      <c r="C848" s="10"/>
      <c r="F848" s="10"/>
    </row>
    <row r="849">
      <c r="B849" s="10"/>
      <c r="C849" s="10"/>
      <c r="F849" s="10"/>
    </row>
    <row r="850">
      <c r="B850" s="10"/>
      <c r="C850" s="10"/>
      <c r="F850" s="10"/>
    </row>
    <row r="851">
      <c r="B851" s="10"/>
      <c r="C851" s="10"/>
      <c r="F851" s="10"/>
    </row>
    <row r="852">
      <c r="B852" s="10"/>
      <c r="C852" s="10"/>
      <c r="F852" s="10"/>
    </row>
    <row r="853">
      <c r="B853" s="10"/>
      <c r="C853" s="10"/>
      <c r="F853" s="10"/>
    </row>
    <row r="854">
      <c r="B854" s="10"/>
      <c r="C854" s="10"/>
      <c r="F854" s="10"/>
    </row>
    <row r="855">
      <c r="B855" s="10"/>
      <c r="C855" s="10"/>
      <c r="F855" s="10"/>
    </row>
    <row r="856">
      <c r="B856" s="10"/>
      <c r="C856" s="10"/>
      <c r="F856" s="10"/>
    </row>
    <row r="857">
      <c r="B857" s="10"/>
      <c r="C857" s="10"/>
      <c r="F857" s="10"/>
    </row>
    <row r="858">
      <c r="B858" s="10"/>
      <c r="C858" s="10"/>
      <c r="F858" s="10"/>
    </row>
    <row r="859">
      <c r="B859" s="10"/>
      <c r="C859" s="10"/>
      <c r="F859" s="10"/>
    </row>
    <row r="860">
      <c r="B860" s="10"/>
      <c r="C860" s="10"/>
      <c r="F860" s="10"/>
    </row>
    <row r="861">
      <c r="B861" s="10"/>
      <c r="C861" s="10"/>
      <c r="F861" s="10"/>
    </row>
    <row r="862">
      <c r="B862" s="10"/>
      <c r="C862" s="10"/>
      <c r="F862" s="10"/>
    </row>
    <row r="863">
      <c r="B863" s="10"/>
      <c r="C863" s="10"/>
      <c r="F863" s="10"/>
    </row>
    <row r="864">
      <c r="B864" s="10"/>
      <c r="C864" s="10"/>
      <c r="F864" s="10"/>
    </row>
    <row r="865">
      <c r="B865" s="10"/>
      <c r="C865" s="10"/>
      <c r="F865" s="10"/>
    </row>
    <row r="866">
      <c r="B866" s="10"/>
      <c r="C866" s="10"/>
      <c r="F866" s="10"/>
    </row>
    <row r="867">
      <c r="B867" s="10"/>
      <c r="C867" s="10"/>
      <c r="F867" s="10"/>
    </row>
    <row r="868">
      <c r="B868" s="10"/>
      <c r="C868" s="10"/>
      <c r="F868" s="10"/>
    </row>
    <row r="869">
      <c r="B869" s="10"/>
      <c r="C869" s="10"/>
      <c r="F869" s="10"/>
    </row>
    <row r="870">
      <c r="B870" s="10"/>
      <c r="C870" s="10"/>
      <c r="F870" s="10"/>
    </row>
    <row r="871">
      <c r="B871" s="10"/>
      <c r="C871" s="10"/>
      <c r="F871" s="10"/>
    </row>
    <row r="872">
      <c r="B872" s="10"/>
      <c r="C872" s="10"/>
      <c r="F872" s="10"/>
    </row>
    <row r="873">
      <c r="B873" s="10"/>
      <c r="C873" s="10"/>
      <c r="F873" s="10"/>
    </row>
    <row r="874">
      <c r="B874" s="10"/>
      <c r="C874" s="10"/>
      <c r="F874" s="10"/>
    </row>
    <row r="875">
      <c r="B875" s="10"/>
      <c r="C875" s="10"/>
      <c r="F875" s="10"/>
    </row>
    <row r="876">
      <c r="B876" s="10"/>
      <c r="C876" s="10"/>
      <c r="F876" s="10"/>
    </row>
    <row r="877">
      <c r="B877" s="10"/>
      <c r="C877" s="10"/>
      <c r="F877" s="10"/>
    </row>
    <row r="878">
      <c r="B878" s="10"/>
      <c r="C878" s="10"/>
      <c r="F878" s="10"/>
    </row>
    <row r="879">
      <c r="B879" s="10"/>
      <c r="C879" s="10"/>
      <c r="F879" s="10"/>
    </row>
    <row r="880">
      <c r="B880" s="10"/>
      <c r="C880" s="10"/>
      <c r="F880" s="10"/>
    </row>
    <row r="881">
      <c r="B881" s="10"/>
      <c r="C881" s="10"/>
      <c r="F881" s="10"/>
    </row>
    <row r="882">
      <c r="B882" s="10"/>
      <c r="C882" s="10"/>
      <c r="F882" s="10"/>
    </row>
    <row r="883">
      <c r="B883" s="10"/>
      <c r="C883" s="10"/>
      <c r="F883" s="10"/>
    </row>
    <row r="884">
      <c r="B884" s="10"/>
      <c r="C884" s="10"/>
      <c r="F884" s="10"/>
    </row>
    <row r="885">
      <c r="B885" s="10"/>
      <c r="C885" s="10"/>
      <c r="F885" s="10"/>
    </row>
    <row r="886">
      <c r="B886" s="10"/>
      <c r="C886" s="10"/>
      <c r="F886" s="10"/>
    </row>
    <row r="887">
      <c r="B887" s="10"/>
      <c r="C887" s="10"/>
      <c r="F887" s="10"/>
    </row>
    <row r="888">
      <c r="B888" s="10"/>
      <c r="C888" s="10"/>
      <c r="F888" s="10"/>
    </row>
    <row r="889">
      <c r="B889" s="10"/>
      <c r="C889" s="10"/>
      <c r="F889" s="10"/>
    </row>
    <row r="890">
      <c r="B890" s="10"/>
      <c r="C890" s="10"/>
      <c r="F890" s="10"/>
    </row>
    <row r="891">
      <c r="B891" s="10"/>
      <c r="C891" s="10"/>
      <c r="F891" s="10"/>
    </row>
    <row r="892">
      <c r="B892" s="10"/>
      <c r="C892" s="10"/>
      <c r="F892" s="10"/>
    </row>
    <row r="893">
      <c r="B893" s="10"/>
      <c r="C893" s="10"/>
      <c r="F893" s="10"/>
    </row>
    <row r="894">
      <c r="B894" s="10"/>
      <c r="C894" s="10"/>
      <c r="F894" s="10"/>
    </row>
    <row r="895">
      <c r="B895" s="10"/>
      <c r="C895" s="10"/>
      <c r="F895" s="10"/>
    </row>
    <row r="896">
      <c r="B896" s="10"/>
      <c r="C896" s="10"/>
      <c r="F896" s="10"/>
    </row>
    <row r="897">
      <c r="B897" s="10"/>
      <c r="C897" s="10"/>
      <c r="F897" s="10"/>
    </row>
    <row r="898">
      <c r="B898" s="10"/>
      <c r="C898" s="10"/>
      <c r="F898" s="10"/>
    </row>
    <row r="899">
      <c r="B899" s="10"/>
      <c r="C899" s="10"/>
      <c r="F899" s="10"/>
    </row>
    <row r="900">
      <c r="B900" s="10"/>
      <c r="C900" s="10"/>
      <c r="F900" s="10"/>
    </row>
    <row r="901">
      <c r="B901" s="10"/>
      <c r="C901" s="10"/>
      <c r="F901" s="10"/>
    </row>
    <row r="902">
      <c r="B902" s="10"/>
      <c r="C902" s="10"/>
      <c r="F902" s="10"/>
    </row>
    <row r="903">
      <c r="B903" s="10"/>
      <c r="C903" s="10"/>
      <c r="F903" s="10"/>
    </row>
    <row r="904">
      <c r="B904" s="10"/>
      <c r="C904" s="10"/>
      <c r="F904" s="10"/>
    </row>
    <row r="905">
      <c r="B905" s="10"/>
      <c r="C905" s="10"/>
      <c r="F905" s="10"/>
    </row>
    <row r="906">
      <c r="B906" s="10"/>
      <c r="C906" s="10"/>
      <c r="F906" s="10"/>
    </row>
    <row r="907">
      <c r="B907" s="10"/>
      <c r="C907" s="10"/>
      <c r="F907" s="10"/>
    </row>
    <row r="908">
      <c r="B908" s="10"/>
      <c r="C908" s="10"/>
      <c r="F908" s="10"/>
    </row>
    <row r="909">
      <c r="B909" s="10"/>
      <c r="C909" s="10"/>
      <c r="F909" s="10"/>
    </row>
    <row r="910">
      <c r="B910" s="10"/>
      <c r="C910" s="10"/>
      <c r="F910" s="10"/>
    </row>
    <row r="911">
      <c r="B911" s="10"/>
      <c r="C911" s="10"/>
      <c r="F911" s="10"/>
    </row>
    <row r="912">
      <c r="B912" s="10"/>
      <c r="C912" s="10"/>
      <c r="F912" s="10"/>
    </row>
    <row r="913">
      <c r="B913" s="10"/>
      <c r="C913" s="10"/>
      <c r="F913" s="10"/>
    </row>
    <row r="914">
      <c r="B914" s="10"/>
      <c r="C914" s="10"/>
      <c r="F914" s="10"/>
    </row>
    <row r="915">
      <c r="B915" s="10"/>
      <c r="C915" s="10"/>
      <c r="F915" s="10"/>
    </row>
    <row r="916">
      <c r="B916" s="10"/>
      <c r="C916" s="10"/>
      <c r="F916" s="10"/>
    </row>
    <row r="917">
      <c r="B917" s="10"/>
      <c r="C917" s="10"/>
      <c r="F917" s="10"/>
    </row>
    <row r="918">
      <c r="B918" s="10"/>
      <c r="C918" s="10"/>
      <c r="F918" s="10"/>
    </row>
    <row r="919">
      <c r="B919" s="10"/>
      <c r="C919" s="10"/>
      <c r="F919" s="10"/>
    </row>
    <row r="920">
      <c r="B920" s="10"/>
      <c r="C920" s="10"/>
      <c r="F920" s="10"/>
    </row>
    <row r="921">
      <c r="B921" s="10"/>
      <c r="C921" s="10"/>
      <c r="F921" s="10"/>
    </row>
    <row r="922">
      <c r="B922" s="10"/>
      <c r="C922" s="10"/>
      <c r="F922" s="10"/>
    </row>
    <row r="923">
      <c r="B923" s="10"/>
      <c r="C923" s="10"/>
      <c r="F923" s="10"/>
    </row>
    <row r="924">
      <c r="B924" s="10"/>
      <c r="C924" s="10"/>
      <c r="F924" s="10"/>
    </row>
    <row r="925">
      <c r="B925" s="10"/>
      <c r="C925" s="10"/>
      <c r="F925" s="10"/>
    </row>
    <row r="926">
      <c r="B926" s="10"/>
      <c r="C926" s="10"/>
      <c r="F926" s="10"/>
    </row>
    <row r="927">
      <c r="B927" s="10"/>
      <c r="C927" s="10"/>
      <c r="F927" s="10"/>
    </row>
    <row r="928">
      <c r="B928" s="10"/>
      <c r="C928" s="10"/>
      <c r="F928" s="10"/>
    </row>
    <row r="929">
      <c r="B929" s="10"/>
      <c r="C929" s="10"/>
      <c r="F929" s="10"/>
    </row>
    <row r="930">
      <c r="B930" s="10"/>
      <c r="C930" s="10"/>
      <c r="F930" s="10"/>
    </row>
    <row r="931">
      <c r="B931" s="10"/>
      <c r="C931" s="10"/>
      <c r="F931" s="10"/>
    </row>
    <row r="932">
      <c r="B932" s="10"/>
      <c r="C932" s="10"/>
      <c r="F932" s="10"/>
    </row>
    <row r="933">
      <c r="B933" s="10"/>
      <c r="C933" s="10"/>
      <c r="F933" s="10"/>
    </row>
    <row r="934">
      <c r="B934" s="10"/>
      <c r="C934" s="10"/>
      <c r="F934" s="10"/>
    </row>
    <row r="935">
      <c r="B935" s="10"/>
      <c r="C935" s="10"/>
      <c r="F935" s="10"/>
    </row>
    <row r="936">
      <c r="B936" s="10"/>
      <c r="C936" s="10"/>
      <c r="F936" s="10"/>
    </row>
    <row r="937">
      <c r="B937" s="10"/>
      <c r="C937" s="10"/>
      <c r="F937" s="10"/>
    </row>
    <row r="938">
      <c r="B938" s="10"/>
      <c r="C938" s="10"/>
      <c r="F938" s="10"/>
    </row>
    <row r="939">
      <c r="B939" s="10"/>
      <c r="C939" s="10"/>
      <c r="F939" s="10"/>
    </row>
    <row r="940">
      <c r="B940" s="10"/>
      <c r="C940" s="10"/>
      <c r="F940" s="10"/>
    </row>
    <row r="941">
      <c r="B941" s="10"/>
      <c r="C941" s="10"/>
      <c r="F941" s="10"/>
    </row>
    <row r="942">
      <c r="B942" s="10"/>
      <c r="C942" s="10"/>
      <c r="F942" s="10"/>
    </row>
    <row r="943">
      <c r="B943" s="10"/>
      <c r="C943" s="10"/>
      <c r="F943" s="10"/>
    </row>
    <row r="944">
      <c r="B944" s="10"/>
      <c r="C944" s="10"/>
      <c r="F944" s="10"/>
    </row>
    <row r="945">
      <c r="B945" s="10"/>
      <c r="C945" s="10"/>
      <c r="F945" s="10"/>
    </row>
    <row r="946">
      <c r="B946" s="10"/>
      <c r="C946" s="10"/>
      <c r="F946" s="10"/>
    </row>
    <row r="947">
      <c r="B947" s="10"/>
      <c r="C947" s="10"/>
      <c r="F947" s="10"/>
    </row>
    <row r="948">
      <c r="B948" s="10"/>
      <c r="C948" s="10"/>
      <c r="F948" s="10"/>
    </row>
    <row r="949">
      <c r="B949" s="10"/>
      <c r="C949" s="10"/>
      <c r="F949" s="10"/>
    </row>
    <row r="950">
      <c r="B950" s="10"/>
      <c r="C950" s="10"/>
      <c r="F950" s="10"/>
    </row>
    <row r="951">
      <c r="B951" s="10"/>
      <c r="C951" s="10"/>
      <c r="F951" s="10"/>
    </row>
    <row r="952">
      <c r="B952" s="10"/>
      <c r="C952" s="10"/>
      <c r="F952" s="10"/>
    </row>
    <row r="953">
      <c r="B953" s="10"/>
      <c r="C953" s="10"/>
      <c r="F953" s="10"/>
    </row>
    <row r="954">
      <c r="B954" s="10"/>
      <c r="C954" s="10"/>
      <c r="F954" s="10"/>
    </row>
    <row r="955">
      <c r="B955" s="10"/>
      <c r="C955" s="10"/>
      <c r="F955" s="10"/>
    </row>
    <row r="956">
      <c r="B956" s="10"/>
      <c r="C956" s="10"/>
      <c r="F956" s="10"/>
    </row>
    <row r="957">
      <c r="B957" s="10"/>
      <c r="C957" s="10"/>
      <c r="F957" s="10"/>
    </row>
    <row r="958">
      <c r="B958" s="10"/>
      <c r="C958" s="10"/>
      <c r="F958" s="10"/>
    </row>
    <row r="959">
      <c r="B959" s="10"/>
      <c r="C959" s="10"/>
      <c r="F959" s="10"/>
    </row>
    <row r="960">
      <c r="B960" s="10"/>
      <c r="C960" s="10"/>
      <c r="F960" s="10"/>
    </row>
    <row r="961">
      <c r="B961" s="10"/>
      <c r="C961" s="10"/>
      <c r="F961" s="10"/>
    </row>
    <row r="962">
      <c r="B962" s="10"/>
      <c r="C962" s="10"/>
      <c r="F962" s="10"/>
    </row>
    <row r="963">
      <c r="B963" s="10"/>
      <c r="C963" s="10"/>
      <c r="F963" s="10"/>
    </row>
    <row r="964">
      <c r="B964" s="10"/>
      <c r="C964" s="10"/>
      <c r="F964" s="10"/>
    </row>
    <row r="965">
      <c r="B965" s="10"/>
      <c r="C965" s="10"/>
      <c r="F965" s="10"/>
    </row>
    <row r="966">
      <c r="B966" s="10"/>
      <c r="C966" s="10"/>
      <c r="F966" s="10"/>
    </row>
    <row r="967">
      <c r="B967" s="10"/>
      <c r="C967" s="10"/>
      <c r="F967" s="10"/>
    </row>
    <row r="968">
      <c r="B968" s="10"/>
      <c r="C968" s="10"/>
      <c r="F968" s="10"/>
    </row>
    <row r="969">
      <c r="B969" s="10"/>
      <c r="C969" s="10"/>
      <c r="F969" s="10"/>
    </row>
    <row r="970">
      <c r="B970" s="10"/>
      <c r="C970" s="10"/>
      <c r="F970" s="10"/>
    </row>
    <row r="971">
      <c r="B971" s="10"/>
      <c r="C971" s="10"/>
      <c r="F971" s="10"/>
    </row>
    <row r="972">
      <c r="B972" s="10"/>
      <c r="C972" s="10"/>
      <c r="F972" s="10"/>
    </row>
    <row r="973">
      <c r="B973" s="10"/>
      <c r="C973" s="10"/>
      <c r="F973" s="10"/>
    </row>
    <row r="974">
      <c r="B974" s="10"/>
      <c r="C974" s="10"/>
      <c r="F974" s="10"/>
    </row>
    <row r="975">
      <c r="B975" s="10"/>
      <c r="C975" s="10"/>
      <c r="F975" s="10"/>
    </row>
    <row r="976">
      <c r="B976" s="10"/>
      <c r="C976" s="10"/>
      <c r="F976" s="10"/>
    </row>
    <row r="977">
      <c r="B977" s="10"/>
      <c r="C977" s="10"/>
      <c r="F977" s="10"/>
    </row>
    <row r="978">
      <c r="B978" s="10"/>
      <c r="C978" s="10"/>
      <c r="F978" s="10"/>
    </row>
    <row r="979">
      <c r="B979" s="10"/>
      <c r="C979" s="10"/>
      <c r="F979" s="10"/>
    </row>
    <row r="980">
      <c r="B980" s="10"/>
      <c r="C980" s="10"/>
      <c r="F980" s="10"/>
    </row>
    <row r="981">
      <c r="B981" s="10"/>
      <c r="C981" s="10"/>
      <c r="F981" s="10"/>
    </row>
    <row r="982">
      <c r="B982" s="10"/>
      <c r="C982" s="10"/>
      <c r="F982" s="10"/>
    </row>
    <row r="983">
      <c r="B983" s="10"/>
      <c r="C983" s="10"/>
      <c r="F983" s="10"/>
    </row>
    <row r="984">
      <c r="B984" s="10"/>
      <c r="C984" s="10"/>
      <c r="F984" s="10"/>
    </row>
    <row r="985">
      <c r="B985" s="10"/>
      <c r="C985" s="10"/>
      <c r="F985" s="10"/>
    </row>
    <row r="986">
      <c r="B986" s="10"/>
      <c r="C986" s="10"/>
      <c r="F986" s="10"/>
    </row>
    <row r="987">
      <c r="B987" s="10"/>
      <c r="C987" s="10"/>
      <c r="F987" s="10"/>
    </row>
    <row r="988">
      <c r="B988" s="10"/>
      <c r="C988" s="10"/>
      <c r="F988" s="10"/>
    </row>
    <row r="989">
      <c r="B989" s="10"/>
      <c r="C989" s="10"/>
      <c r="F989" s="10"/>
    </row>
    <row r="990">
      <c r="B990" s="10"/>
      <c r="C990" s="10"/>
      <c r="F990" s="10"/>
    </row>
    <row r="991">
      <c r="B991" s="10"/>
      <c r="C991" s="10"/>
      <c r="F991" s="10"/>
    </row>
    <row r="992">
      <c r="B992" s="10"/>
      <c r="C992" s="10"/>
      <c r="F992" s="10"/>
    </row>
    <row r="993">
      <c r="B993" s="10"/>
      <c r="C993" s="10"/>
      <c r="F993" s="10"/>
    </row>
    <row r="994">
      <c r="B994" s="10"/>
      <c r="C994" s="10"/>
      <c r="F994" s="10"/>
    </row>
    <row r="995">
      <c r="B995" s="10"/>
      <c r="C995" s="10"/>
      <c r="F995" s="10"/>
    </row>
    <row r="996">
      <c r="B996" s="10"/>
      <c r="C996" s="10"/>
      <c r="F996" s="10"/>
    </row>
    <row r="997">
      <c r="B997" s="10"/>
      <c r="C997" s="10"/>
      <c r="F997" s="10"/>
    </row>
    <row r="998">
      <c r="B998" s="10"/>
      <c r="C998" s="10"/>
      <c r="F998" s="10"/>
    </row>
    <row r="999">
      <c r="B999" s="10"/>
      <c r="C999" s="10"/>
      <c r="F999" s="10"/>
    </row>
    <row r="1000">
      <c r="B1000" s="10"/>
      <c r="C1000" s="10"/>
      <c r="F1000"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2</v>
      </c>
      <c r="B1" s="16" t="s">
        <v>356</v>
      </c>
      <c r="C1" s="16" t="s">
        <v>179</v>
      </c>
      <c r="D1" s="16" t="s">
        <v>180</v>
      </c>
      <c r="E1" s="17" t="s">
        <v>181</v>
      </c>
      <c r="F1" s="17" t="s">
        <v>182</v>
      </c>
      <c r="G1" s="17" t="s">
        <v>145</v>
      </c>
      <c r="H1" s="17" t="s">
        <v>146</v>
      </c>
      <c r="I1" s="16" t="s">
        <v>183</v>
      </c>
      <c r="J1" s="16" t="s">
        <v>184</v>
      </c>
      <c r="K1" s="16" t="s">
        <v>357</v>
      </c>
      <c r="M1" s="35" t="s">
        <v>358</v>
      </c>
      <c r="N1" s="35" t="s">
        <v>359</v>
      </c>
      <c r="O1" s="35" t="s">
        <v>360</v>
      </c>
    </row>
    <row r="2">
      <c r="A2" s="1" t="s">
        <v>302</v>
      </c>
      <c r="B2" s="1" t="s">
        <v>361</v>
      </c>
      <c r="C2" s="20">
        <v>5.0</v>
      </c>
      <c r="D2" s="20" t="b">
        <v>1</v>
      </c>
      <c r="E2" s="4" t="s">
        <v>362</v>
      </c>
      <c r="F2" s="10"/>
      <c r="G2" s="4" t="s">
        <v>148</v>
      </c>
      <c r="H2" s="36">
        <v>774.0</v>
      </c>
      <c r="I2" s="21">
        <f>VLOOKUP($A2,'Test Set'!$A:$E,4,FALSE)</f>
        <v>3</v>
      </c>
      <c r="J2" s="21" t="b">
        <f>LOWER(VLOOKUP($A2,'Test Set'!$A:$E,5,FALSE))="yes"</f>
        <v>0</v>
      </c>
      <c r="K2" s="21" t="b">
        <f t="shared" ref="K2:K39" si="1">J2=D2</f>
        <v>0</v>
      </c>
      <c r="M2" s="37" t="s">
        <v>200</v>
      </c>
      <c r="N2" s="38">
        <f>COUNTIFS($B$2:$B$39,"v1")</f>
        <v>19</v>
      </c>
      <c r="O2" s="38">
        <f>COUNTIFS($B$2:$B$39,"v2")</f>
        <v>19</v>
      </c>
    </row>
    <row r="3">
      <c r="A3" s="1" t="s">
        <v>302</v>
      </c>
      <c r="B3" s="1" t="s">
        <v>363</v>
      </c>
      <c r="C3" s="20">
        <v>4.0</v>
      </c>
      <c r="D3" s="20" t="b">
        <v>1</v>
      </c>
      <c r="E3" s="4" t="s">
        <v>364</v>
      </c>
      <c r="F3" s="10"/>
      <c r="G3" s="4" t="s">
        <v>148</v>
      </c>
      <c r="H3" s="36">
        <v>922.0</v>
      </c>
      <c r="I3" s="21">
        <f>VLOOKUP($A3,'Test Set'!$A:$E,4,FALSE)</f>
        <v>3</v>
      </c>
      <c r="J3" s="21" t="b">
        <f>LOWER(VLOOKUP($A3,'Test Set'!$A:$E,5,FALSE))="yes"</f>
        <v>0</v>
      </c>
      <c r="K3" s="21" t="b">
        <f t="shared" si="1"/>
        <v>0</v>
      </c>
      <c r="M3" s="37" t="s">
        <v>365</v>
      </c>
      <c r="N3" s="39">
        <f>COUNTIFS($B$2:$B$39,N$1,$K$2:$K$39,TRUE)/N2</f>
        <v>0.5789473684</v>
      </c>
      <c r="O3" s="39">
        <f>COUNTIFS($B$2:$B$39,"v2",$K$2:$K$39,TRUE)/O2</f>
        <v>0.6842105263</v>
      </c>
    </row>
    <row r="4">
      <c r="A4" s="1" t="s">
        <v>305</v>
      </c>
      <c r="B4" s="1" t="s">
        <v>361</v>
      </c>
      <c r="C4" s="20">
        <v>5.0</v>
      </c>
      <c r="D4" s="20" t="b">
        <v>1</v>
      </c>
      <c r="E4" s="4" t="s">
        <v>234</v>
      </c>
      <c r="F4" s="10"/>
      <c r="G4" s="4" t="s">
        <v>148</v>
      </c>
      <c r="H4" s="36">
        <v>823.0</v>
      </c>
      <c r="I4" s="21">
        <f>VLOOKUP($A4,'Test Set'!$A:$E,4,FALSE)</f>
        <v>2</v>
      </c>
      <c r="J4" s="21" t="b">
        <f>LOWER(VLOOKUP($A4,'Test Set'!$A:$E,5,FALSE))="yes"</f>
        <v>0</v>
      </c>
      <c r="K4" s="21" t="b">
        <f t="shared" si="1"/>
        <v>0</v>
      </c>
      <c r="M4" s="37" t="s">
        <v>366</v>
      </c>
      <c r="N4" s="38">
        <f>COUNTIFS($B$2:$B$39,N$1,$D$2:$D$39,TRUE,$J$2:$J$39,FALSE)</f>
        <v>7</v>
      </c>
      <c r="O4" s="38">
        <f>COUNTIFS($B$2:$B$39,"v2",$D$2:$D$39,TRUE,$J$2:$J$39,FALSE)</f>
        <v>3</v>
      </c>
    </row>
    <row r="5">
      <c r="A5" s="1" t="s">
        <v>305</v>
      </c>
      <c r="B5" s="1" t="s">
        <v>363</v>
      </c>
      <c r="C5" s="20">
        <v>2.0</v>
      </c>
      <c r="D5" s="20" t="b">
        <v>0</v>
      </c>
      <c r="E5" s="4" t="s">
        <v>367</v>
      </c>
      <c r="F5" s="4" t="s">
        <v>368</v>
      </c>
      <c r="G5" s="4" t="s">
        <v>148</v>
      </c>
      <c r="H5" s="36">
        <v>971.0</v>
      </c>
      <c r="I5" s="21">
        <f>VLOOKUP($A5,'Test Set'!$A:$E,4,FALSE)</f>
        <v>2</v>
      </c>
      <c r="J5" s="21" t="b">
        <f>LOWER(VLOOKUP($A5,'Test Set'!$A:$E,5,FALSE))="yes"</f>
        <v>0</v>
      </c>
      <c r="K5" s="21" t="b">
        <f t="shared" si="1"/>
        <v>1</v>
      </c>
      <c r="M5" s="37" t="s">
        <v>369</v>
      </c>
      <c r="N5" s="38">
        <f>COUNTIFS($B$2:$B$39,"v1",$D$2:$D$39,FALSE,$J$2:$J$39,TRUE)</f>
        <v>1</v>
      </c>
      <c r="O5" s="38">
        <f>COUNTIFS($B$2:$B$39,"v2",$D$2:$D$39,FALSE,$J$2:$J$39,TRUE)</f>
        <v>3</v>
      </c>
    </row>
    <row r="6">
      <c r="A6" s="1" t="s">
        <v>308</v>
      </c>
      <c r="B6" s="1" t="s">
        <v>361</v>
      </c>
      <c r="C6" s="20">
        <v>5.0</v>
      </c>
      <c r="D6" s="20" t="b">
        <v>1</v>
      </c>
      <c r="E6" s="4" t="s">
        <v>370</v>
      </c>
      <c r="F6" s="10"/>
      <c r="G6" s="4" t="s">
        <v>148</v>
      </c>
      <c r="H6" s="36">
        <v>854.0</v>
      </c>
      <c r="I6" s="21">
        <f>VLOOKUP($A6,'Test Set'!$A:$E,4,FALSE)</f>
        <v>2</v>
      </c>
      <c r="J6" s="21" t="b">
        <f>LOWER(VLOOKUP($A6,'Test Set'!$A:$E,5,FALSE))="yes"</f>
        <v>0</v>
      </c>
      <c r="K6" s="21" t="b">
        <f t="shared" si="1"/>
        <v>0</v>
      </c>
      <c r="M6" s="37" t="s">
        <v>248</v>
      </c>
      <c r="N6" s="39">
        <f>COUNTIFS($B$2:$B$39,"v1",$J$2:$J$39,TRUE)/N2</f>
        <v>0.3157894737</v>
      </c>
      <c r="O6" s="39">
        <f>COUNTIFS($B$2:$B$39,"v2",$J$2:$J$39,TRUE)/O2</f>
        <v>0.3157894737</v>
      </c>
    </row>
    <row r="7">
      <c r="A7" s="1" t="s">
        <v>308</v>
      </c>
      <c r="B7" s="1" t="s">
        <v>363</v>
      </c>
      <c r="C7" s="20">
        <v>2.0</v>
      </c>
      <c r="D7" s="20" t="b">
        <v>0</v>
      </c>
      <c r="E7" s="4" t="s">
        <v>371</v>
      </c>
      <c r="F7" s="4" t="s">
        <v>372</v>
      </c>
      <c r="G7" s="4" t="s">
        <v>148</v>
      </c>
      <c r="H7" s="36">
        <v>1004.0</v>
      </c>
      <c r="I7" s="21">
        <f>VLOOKUP($A7,'Test Set'!$A:$E,4,FALSE)</f>
        <v>2</v>
      </c>
      <c r="J7" s="21" t="b">
        <f>LOWER(VLOOKUP($A7,'Test Set'!$A:$E,5,FALSE))="yes"</f>
        <v>0</v>
      </c>
      <c r="K7" s="21" t="b">
        <f t="shared" si="1"/>
        <v>1</v>
      </c>
      <c r="M7" s="37" t="s">
        <v>257</v>
      </c>
      <c r="N7" s="39">
        <f>COUNTIFS($B$2:$B$39,"v1",$D$2:$D$39,TRUE)/N2</f>
        <v>0.6315789474</v>
      </c>
      <c r="O7" s="39">
        <f>COUNTIFS($B$2:$B$39,"v2",$D$2:$D$39,TRUE)/O2</f>
        <v>0.3157894737</v>
      </c>
    </row>
    <row r="8">
      <c r="A8" s="1" t="s">
        <v>311</v>
      </c>
      <c r="B8" s="1" t="s">
        <v>361</v>
      </c>
      <c r="C8" s="20">
        <v>2.0</v>
      </c>
      <c r="D8" s="20" t="b">
        <v>0</v>
      </c>
      <c r="E8" s="4" t="s">
        <v>373</v>
      </c>
      <c r="F8" s="4" t="s">
        <v>374</v>
      </c>
      <c r="G8" s="4" t="s">
        <v>148</v>
      </c>
      <c r="H8" s="36">
        <v>823.0</v>
      </c>
      <c r="I8" s="21">
        <f>VLOOKUP($A8,'Test Set'!$A:$E,4,FALSE)</f>
        <v>2</v>
      </c>
      <c r="J8" s="21" t="b">
        <f>LOWER(VLOOKUP($A8,'Test Set'!$A:$E,5,FALSE))="yes"</f>
        <v>0</v>
      </c>
      <c r="K8" s="21" t="b">
        <f t="shared" si="1"/>
        <v>1</v>
      </c>
      <c r="M8" s="40" t="s">
        <v>267</v>
      </c>
      <c r="N8" s="39">
        <f t="shared" ref="N8:O8" si="2">N6*N7+(1-N6)*(1-N7)</f>
        <v>0.4515235457</v>
      </c>
      <c r="O8" s="39">
        <f t="shared" si="2"/>
        <v>0.567867036</v>
      </c>
    </row>
    <row r="9">
      <c r="A9" s="1" t="s">
        <v>311</v>
      </c>
      <c r="B9" s="1" t="s">
        <v>363</v>
      </c>
      <c r="C9" s="20">
        <v>2.0</v>
      </c>
      <c r="D9" s="20" t="b">
        <v>0</v>
      </c>
      <c r="E9" s="4" t="s">
        <v>375</v>
      </c>
      <c r="F9" s="4" t="s">
        <v>374</v>
      </c>
      <c r="G9" s="4" t="s">
        <v>148</v>
      </c>
      <c r="H9" s="36">
        <v>962.0</v>
      </c>
      <c r="I9" s="21">
        <f>VLOOKUP($A9,'Test Set'!$A:$E,4,FALSE)</f>
        <v>2</v>
      </c>
      <c r="J9" s="21" t="b">
        <f>LOWER(VLOOKUP($A9,'Test Set'!$A:$E,5,FALSE))="yes"</f>
        <v>0</v>
      </c>
      <c r="K9" s="21" t="b">
        <f t="shared" si="1"/>
        <v>1</v>
      </c>
      <c r="M9" s="37" t="s">
        <v>225</v>
      </c>
      <c r="N9" s="30">
        <f t="shared" ref="N9:O9" si="3">(N3-N8)/(1-N8)</f>
        <v>0.2323232323</v>
      </c>
      <c r="O9" s="30">
        <f t="shared" si="3"/>
        <v>0.2692307692</v>
      </c>
    </row>
    <row r="10">
      <c r="A10" s="1" t="s">
        <v>314</v>
      </c>
      <c r="B10" s="1" t="s">
        <v>361</v>
      </c>
      <c r="C10" s="20">
        <v>2.0</v>
      </c>
      <c r="D10" s="20" t="b">
        <v>0</v>
      </c>
      <c r="E10" s="4" t="s">
        <v>376</v>
      </c>
      <c r="F10" s="4" t="s">
        <v>377</v>
      </c>
      <c r="G10" s="4" t="s">
        <v>148</v>
      </c>
      <c r="H10" s="36">
        <v>831.0</v>
      </c>
      <c r="I10" s="21">
        <f>VLOOKUP($A10,'Test Set'!$A:$E,4,FALSE)</f>
        <v>2</v>
      </c>
      <c r="J10" s="21" t="b">
        <f>LOWER(VLOOKUP($A10,'Test Set'!$A:$E,5,FALSE))="yes"</f>
        <v>0</v>
      </c>
      <c r="K10" s="21" t="b">
        <f t="shared" si="1"/>
        <v>1</v>
      </c>
    </row>
    <row r="11">
      <c r="A11" s="1" t="s">
        <v>314</v>
      </c>
      <c r="B11" s="1" t="s">
        <v>363</v>
      </c>
      <c r="C11" s="20">
        <v>2.0</v>
      </c>
      <c r="D11" s="20" t="b">
        <v>0</v>
      </c>
      <c r="E11" s="4" t="s">
        <v>378</v>
      </c>
      <c r="F11" s="4" t="s">
        <v>379</v>
      </c>
      <c r="G11" s="4" t="s">
        <v>148</v>
      </c>
      <c r="H11" s="36">
        <v>988.0</v>
      </c>
      <c r="I11" s="21">
        <f>VLOOKUP($A11,'Test Set'!$A:$E,4,FALSE)</f>
        <v>2</v>
      </c>
      <c r="J11" s="21" t="b">
        <f>LOWER(VLOOKUP($A11,'Test Set'!$A:$E,5,FALSE))="yes"</f>
        <v>0</v>
      </c>
      <c r="K11" s="21" t="b">
        <f t="shared" si="1"/>
        <v>1</v>
      </c>
    </row>
    <row r="12">
      <c r="A12" s="1" t="s">
        <v>317</v>
      </c>
      <c r="B12" s="1" t="s">
        <v>361</v>
      </c>
      <c r="C12" s="20">
        <v>5.0</v>
      </c>
      <c r="D12" s="20" t="b">
        <v>1</v>
      </c>
      <c r="E12" s="4" t="s">
        <v>270</v>
      </c>
      <c r="F12" s="10"/>
      <c r="G12" s="4" t="s">
        <v>148</v>
      </c>
      <c r="H12" s="36">
        <v>798.0</v>
      </c>
      <c r="I12" s="21">
        <f>VLOOKUP($A12,'Test Set'!$A:$E,4,FALSE)</f>
        <v>2</v>
      </c>
      <c r="J12" s="21" t="b">
        <f>LOWER(VLOOKUP($A12,'Test Set'!$A:$E,5,FALSE))="yes"</f>
        <v>0</v>
      </c>
      <c r="K12" s="21" t="b">
        <f t="shared" si="1"/>
        <v>0</v>
      </c>
    </row>
    <row r="13">
      <c r="A13" s="1" t="s">
        <v>317</v>
      </c>
      <c r="B13" s="1" t="s">
        <v>363</v>
      </c>
      <c r="C13" s="20">
        <v>3.0</v>
      </c>
      <c r="D13" s="20" t="b">
        <v>0</v>
      </c>
      <c r="E13" s="4" t="s">
        <v>380</v>
      </c>
      <c r="F13" s="10"/>
      <c r="G13" s="4" t="s">
        <v>148</v>
      </c>
      <c r="H13" s="36">
        <v>942.0</v>
      </c>
      <c r="I13" s="21">
        <f>VLOOKUP($A13,'Test Set'!$A:$E,4,FALSE)</f>
        <v>2</v>
      </c>
      <c r="J13" s="21" t="b">
        <f>LOWER(VLOOKUP($A13,'Test Set'!$A:$E,5,FALSE))="yes"</f>
        <v>0</v>
      </c>
      <c r="K13" s="21" t="b">
        <f t="shared" si="1"/>
        <v>1</v>
      </c>
    </row>
    <row r="14">
      <c r="A14" s="1" t="s">
        <v>320</v>
      </c>
      <c r="B14" s="1" t="s">
        <v>361</v>
      </c>
      <c r="C14" s="20">
        <v>3.0</v>
      </c>
      <c r="D14" s="20" t="b">
        <v>0</v>
      </c>
      <c r="E14" s="4" t="s">
        <v>381</v>
      </c>
      <c r="F14" s="4" t="s">
        <v>382</v>
      </c>
      <c r="G14" s="4" t="s">
        <v>148</v>
      </c>
      <c r="H14" s="36">
        <v>853.0</v>
      </c>
      <c r="I14" s="21">
        <f>VLOOKUP($A14,'Test Set'!$A:$E,4,FALSE)</f>
        <v>5</v>
      </c>
      <c r="J14" s="21" t="b">
        <f>LOWER(VLOOKUP($A14,'Test Set'!$A:$E,5,FALSE))="yes"</f>
        <v>1</v>
      </c>
      <c r="K14" s="21" t="b">
        <f t="shared" si="1"/>
        <v>0</v>
      </c>
    </row>
    <row r="15">
      <c r="A15" s="1" t="s">
        <v>320</v>
      </c>
      <c r="B15" s="1" t="s">
        <v>363</v>
      </c>
      <c r="C15" s="20">
        <v>2.0</v>
      </c>
      <c r="D15" s="20" t="b">
        <v>0</v>
      </c>
      <c r="E15" s="4" t="s">
        <v>383</v>
      </c>
      <c r="F15" s="4" t="s">
        <v>384</v>
      </c>
      <c r="G15" s="4" t="s">
        <v>148</v>
      </c>
      <c r="H15" s="36">
        <v>1011.0</v>
      </c>
      <c r="I15" s="21">
        <f>VLOOKUP($A15,'Test Set'!$A:$E,4,FALSE)</f>
        <v>5</v>
      </c>
      <c r="J15" s="21" t="b">
        <f>LOWER(VLOOKUP($A15,'Test Set'!$A:$E,5,FALSE))="yes"</f>
        <v>1</v>
      </c>
      <c r="K15" s="21" t="b">
        <f t="shared" si="1"/>
        <v>0</v>
      </c>
    </row>
    <row r="16">
      <c r="A16" s="1" t="s">
        <v>323</v>
      </c>
      <c r="B16" s="1" t="s">
        <v>361</v>
      </c>
      <c r="C16" s="20">
        <v>5.0</v>
      </c>
      <c r="D16" s="20" t="b">
        <v>1</v>
      </c>
      <c r="E16" s="4" t="s">
        <v>385</v>
      </c>
      <c r="F16" s="10"/>
      <c r="G16" s="4" t="s">
        <v>148</v>
      </c>
      <c r="H16" s="36">
        <v>658.0</v>
      </c>
      <c r="I16" s="21">
        <f>VLOOKUP($A16,'Test Set'!$A:$E,4,FALSE)</f>
        <v>2</v>
      </c>
      <c r="J16" s="21" t="b">
        <f>LOWER(VLOOKUP($A16,'Test Set'!$A:$E,5,FALSE))="yes"</f>
        <v>0</v>
      </c>
      <c r="K16" s="21" t="b">
        <f t="shared" si="1"/>
        <v>0</v>
      </c>
    </row>
    <row r="17">
      <c r="A17" s="1" t="s">
        <v>323</v>
      </c>
      <c r="B17" s="1" t="s">
        <v>363</v>
      </c>
      <c r="C17" s="20">
        <v>5.0</v>
      </c>
      <c r="D17" s="20" t="b">
        <v>1</v>
      </c>
      <c r="E17" s="4" t="s">
        <v>386</v>
      </c>
      <c r="F17" s="10"/>
      <c r="G17" s="4" t="s">
        <v>148</v>
      </c>
      <c r="H17" s="36">
        <v>794.0</v>
      </c>
      <c r="I17" s="21">
        <f>VLOOKUP($A17,'Test Set'!$A:$E,4,FALSE)</f>
        <v>2</v>
      </c>
      <c r="J17" s="21" t="b">
        <f>LOWER(VLOOKUP($A17,'Test Set'!$A:$E,5,FALSE))="yes"</f>
        <v>0</v>
      </c>
      <c r="K17" s="21" t="b">
        <f t="shared" si="1"/>
        <v>0</v>
      </c>
    </row>
    <row r="18">
      <c r="A18" s="1" t="s">
        <v>326</v>
      </c>
      <c r="B18" s="1" t="s">
        <v>361</v>
      </c>
      <c r="C18" s="20">
        <v>2.0</v>
      </c>
      <c r="D18" s="20" t="b">
        <v>0</v>
      </c>
      <c r="E18" s="4" t="s">
        <v>387</v>
      </c>
      <c r="F18" s="4" t="s">
        <v>388</v>
      </c>
      <c r="G18" s="4" t="s">
        <v>148</v>
      </c>
      <c r="H18" s="36">
        <v>817.0</v>
      </c>
      <c r="I18" s="21">
        <f>VLOOKUP($A18,'Test Set'!$A:$E,4,FALSE)</f>
        <v>2</v>
      </c>
      <c r="J18" s="21" t="b">
        <f>LOWER(VLOOKUP($A18,'Test Set'!$A:$E,5,FALSE))="yes"</f>
        <v>0</v>
      </c>
      <c r="K18" s="21" t="b">
        <f t="shared" si="1"/>
        <v>1</v>
      </c>
    </row>
    <row r="19">
      <c r="A19" s="1" t="s">
        <v>326</v>
      </c>
      <c r="B19" s="1" t="s">
        <v>363</v>
      </c>
      <c r="C19" s="20">
        <v>2.0</v>
      </c>
      <c r="D19" s="20" t="b">
        <v>0</v>
      </c>
      <c r="E19" s="4" t="s">
        <v>389</v>
      </c>
      <c r="F19" s="4" t="s">
        <v>388</v>
      </c>
      <c r="G19" s="4" t="s">
        <v>148</v>
      </c>
      <c r="H19" s="36">
        <v>956.0</v>
      </c>
      <c r="I19" s="21">
        <f>VLOOKUP($A19,'Test Set'!$A:$E,4,FALSE)</f>
        <v>2</v>
      </c>
      <c r="J19" s="21" t="b">
        <f>LOWER(VLOOKUP($A19,'Test Set'!$A:$E,5,FALSE))="yes"</f>
        <v>0</v>
      </c>
      <c r="K19" s="21" t="b">
        <f t="shared" si="1"/>
        <v>1</v>
      </c>
    </row>
    <row r="20">
      <c r="A20" s="1" t="s">
        <v>329</v>
      </c>
      <c r="B20" s="1" t="s">
        <v>361</v>
      </c>
      <c r="C20" s="20">
        <v>5.0</v>
      </c>
      <c r="D20" s="20" t="b">
        <v>1</v>
      </c>
      <c r="E20" s="4" t="s">
        <v>390</v>
      </c>
      <c r="F20" s="10"/>
      <c r="G20" s="4" t="s">
        <v>148</v>
      </c>
      <c r="H20" s="36">
        <v>815.0</v>
      </c>
      <c r="I20" s="21">
        <f>VLOOKUP($A20,'Test Set'!$A:$E,4,FALSE)</f>
        <v>3</v>
      </c>
      <c r="J20" s="21" t="b">
        <f>LOWER(VLOOKUP($A20,'Test Set'!$A:$E,5,FALSE))="yes"</f>
        <v>0</v>
      </c>
      <c r="K20" s="21" t="b">
        <f t="shared" si="1"/>
        <v>0</v>
      </c>
    </row>
    <row r="21">
      <c r="A21" s="1" t="s">
        <v>329</v>
      </c>
      <c r="B21" s="1" t="s">
        <v>363</v>
      </c>
      <c r="C21" s="20">
        <v>5.0</v>
      </c>
      <c r="D21" s="20" t="b">
        <v>1</v>
      </c>
      <c r="E21" s="4" t="s">
        <v>391</v>
      </c>
      <c r="F21" s="10"/>
      <c r="G21" s="4" t="s">
        <v>148</v>
      </c>
      <c r="H21" s="36">
        <v>959.0</v>
      </c>
      <c r="I21" s="21">
        <f>VLOOKUP($A21,'Test Set'!$A:$E,4,FALSE)</f>
        <v>3</v>
      </c>
      <c r="J21" s="21" t="b">
        <f>LOWER(VLOOKUP($A21,'Test Set'!$A:$E,5,FALSE))="yes"</f>
        <v>0</v>
      </c>
      <c r="K21" s="21" t="b">
        <f t="shared" si="1"/>
        <v>0</v>
      </c>
    </row>
    <row r="22">
      <c r="A22" s="1" t="s">
        <v>332</v>
      </c>
      <c r="B22" s="1" t="s">
        <v>361</v>
      </c>
      <c r="C22" s="20">
        <v>5.0</v>
      </c>
      <c r="D22" s="20" t="b">
        <v>1</v>
      </c>
      <c r="E22" s="4" t="s">
        <v>392</v>
      </c>
      <c r="F22" s="10"/>
      <c r="G22" s="4" t="s">
        <v>148</v>
      </c>
      <c r="H22" s="36">
        <v>850.0</v>
      </c>
      <c r="I22" s="21">
        <f>VLOOKUP($A22,'Test Set'!$A:$E,4,FALSE)</f>
        <v>5</v>
      </c>
      <c r="J22" s="21" t="b">
        <f>LOWER(VLOOKUP($A22,'Test Set'!$A:$E,5,FALSE))="yes"</f>
        <v>1</v>
      </c>
      <c r="K22" s="21" t="b">
        <f t="shared" si="1"/>
        <v>1</v>
      </c>
    </row>
    <row r="23">
      <c r="A23" s="1" t="s">
        <v>332</v>
      </c>
      <c r="B23" s="1" t="s">
        <v>363</v>
      </c>
      <c r="C23" s="20">
        <v>5.0</v>
      </c>
      <c r="D23" s="20" t="b">
        <v>1</v>
      </c>
      <c r="E23" s="4" t="s">
        <v>392</v>
      </c>
      <c r="F23" s="10"/>
      <c r="G23" s="4" t="s">
        <v>148</v>
      </c>
      <c r="H23" s="36">
        <v>990.0</v>
      </c>
      <c r="I23" s="21">
        <f>VLOOKUP($A23,'Test Set'!$A:$E,4,FALSE)</f>
        <v>5</v>
      </c>
      <c r="J23" s="21" t="b">
        <f>LOWER(VLOOKUP($A23,'Test Set'!$A:$E,5,FALSE))="yes"</f>
        <v>1</v>
      </c>
      <c r="K23" s="21" t="b">
        <f t="shared" si="1"/>
        <v>1</v>
      </c>
    </row>
    <row r="24">
      <c r="A24" s="1" t="s">
        <v>335</v>
      </c>
      <c r="B24" s="1" t="s">
        <v>361</v>
      </c>
      <c r="C24" s="20">
        <v>2.0</v>
      </c>
      <c r="D24" s="20" t="b">
        <v>0</v>
      </c>
      <c r="E24" s="4" t="s">
        <v>251</v>
      </c>
      <c r="F24" s="4" t="s">
        <v>393</v>
      </c>
      <c r="G24" s="4" t="s">
        <v>148</v>
      </c>
      <c r="H24" s="36">
        <v>815.0</v>
      </c>
      <c r="I24" s="21">
        <f>VLOOKUP($A24,'Test Set'!$A:$E,4,FALSE)</f>
        <v>2</v>
      </c>
      <c r="J24" s="21" t="b">
        <f>LOWER(VLOOKUP($A24,'Test Set'!$A:$E,5,FALSE))="yes"</f>
        <v>0</v>
      </c>
      <c r="K24" s="21" t="b">
        <f t="shared" si="1"/>
        <v>1</v>
      </c>
    </row>
    <row r="25">
      <c r="A25" s="1" t="s">
        <v>335</v>
      </c>
      <c r="B25" s="1" t="s">
        <v>363</v>
      </c>
      <c r="C25" s="20">
        <v>2.0</v>
      </c>
      <c r="D25" s="20" t="b">
        <v>0</v>
      </c>
      <c r="E25" s="4" t="s">
        <v>394</v>
      </c>
      <c r="F25" s="4" t="s">
        <v>395</v>
      </c>
      <c r="G25" s="4" t="s">
        <v>148</v>
      </c>
      <c r="H25" s="36">
        <v>958.0</v>
      </c>
      <c r="I25" s="21">
        <f>VLOOKUP($A25,'Test Set'!$A:$E,4,FALSE)</f>
        <v>2</v>
      </c>
      <c r="J25" s="21" t="b">
        <f>LOWER(VLOOKUP($A25,'Test Set'!$A:$E,5,FALSE))="yes"</f>
        <v>0</v>
      </c>
      <c r="K25" s="21" t="b">
        <f t="shared" si="1"/>
        <v>1</v>
      </c>
    </row>
    <row r="26">
      <c r="A26" s="1" t="s">
        <v>338</v>
      </c>
      <c r="B26" s="1" t="s">
        <v>361</v>
      </c>
      <c r="C26" s="20">
        <v>2.0</v>
      </c>
      <c r="D26" s="20" t="b">
        <v>0</v>
      </c>
      <c r="E26" s="4" t="s">
        <v>396</v>
      </c>
      <c r="F26" s="4" t="s">
        <v>397</v>
      </c>
      <c r="G26" s="4" t="s">
        <v>148</v>
      </c>
      <c r="H26" s="36">
        <v>767.0</v>
      </c>
      <c r="I26" s="21">
        <f>VLOOKUP($A26,'Test Set'!$A:$E,4,FALSE)</f>
        <v>1</v>
      </c>
      <c r="J26" s="21" t="b">
        <f>LOWER(VLOOKUP($A26,'Test Set'!$A:$E,5,FALSE))="yes"</f>
        <v>0</v>
      </c>
      <c r="K26" s="21" t="b">
        <f t="shared" si="1"/>
        <v>1</v>
      </c>
    </row>
    <row r="27">
      <c r="A27" s="1" t="s">
        <v>338</v>
      </c>
      <c r="B27" s="1" t="s">
        <v>363</v>
      </c>
      <c r="C27" s="20">
        <v>2.0</v>
      </c>
      <c r="D27" s="20" t="b">
        <v>0</v>
      </c>
      <c r="E27" s="4" t="s">
        <v>398</v>
      </c>
      <c r="F27" s="4" t="s">
        <v>397</v>
      </c>
      <c r="G27" s="4" t="s">
        <v>148</v>
      </c>
      <c r="H27" s="36">
        <v>907.0</v>
      </c>
      <c r="I27" s="21">
        <f>VLOOKUP($A27,'Test Set'!$A:$E,4,FALSE)</f>
        <v>1</v>
      </c>
      <c r="J27" s="21" t="b">
        <f>LOWER(VLOOKUP($A27,'Test Set'!$A:$E,5,FALSE))="yes"</f>
        <v>0</v>
      </c>
      <c r="K27" s="21" t="b">
        <f t="shared" si="1"/>
        <v>1</v>
      </c>
    </row>
    <row r="28">
      <c r="A28" s="1" t="s">
        <v>341</v>
      </c>
      <c r="B28" s="1" t="s">
        <v>361</v>
      </c>
      <c r="C28" s="20">
        <v>5.0</v>
      </c>
      <c r="D28" s="20" t="b">
        <v>1</v>
      </c>
      <c r="E28" s="4" t="s">
        <v>399</v>
      </c>
      <c r="F28" s="10"/>
      <c r="G28" s="4" t="s">
        <v>148</v>
      </c>
      <c r="H28" s="36">
        <v>841.0</v>
      </c>
      <c r="I28" s="21">
        <f>VLOOKUP($A28,'Test Set'!$A:$E,4,FALSE)</f>
        <v>5</v>
      </c>
      <c r="J28" s="21" t="b">
        <f>LOWER(VLOOKUP($A28,'Test Set'!$A:$E,5,FALSE))="yes"</f>
        <v>1</v>
      </c>
      <c r="K28" s="21" t="b">
        <f t="shared" si="1"/>
        <v>1</v>
      </c>
    </row>
    <row r="29">
      <c r="A29" s="1" t="s">
        <v>341</v>
      </c>
      <c r="B29" s="1" t="s">
        <v>363</v>
      </c>
      <c r="C29" s="20">
        <v>5.0</v>
      </c>
      <c r="D29" s="20" t="b">
        <v>1</v>
      </c>
      <c r="E29" s="4" t="s">
        <v>400</v>
      </c>
      <c r="F29" s="10"/>
      <c r="G29" s="4" t="s">
        <v>148</v>
      </c>
      <c r="H29" s="36">
        <v>979.0</v>
      </c>
      <c r="I29" s="21">
        <f>VLOOKUP($A29,'Test Set'!$A:$E,4,FALSE)</f>
        <v>5</v>
      </c>
      <c r="J29" s="21" t="b">
        <f>LOWER(VLOOKUP($A29,'Test Set'!$A:$E,5,FALSE))="yes"</f>
        <v>1</v>
      </c>
      <c r="K29" s="21" t="b">
        <f t="shared" si="1"/>
        <v>1</v>
      </c>
    </row>
    <row r="30">
      <c r="A30" s="1" t="s">
        <v>344</v>
      </c>
      <c r="B30" s="1" t="s">
        <v>361</v>
      </c>
      <c r="C30" s="20">
        <v>5.0</v>
      </c>
      <c r="D30" s="20" t="b">
        <v>1</v>
      </c>
      <c r="E30" s="4" t="s">
        <v>234</v>
      </c>
      <c r="F30" s="10"/>
      <c r="G30" s="4" t="s">
        <v>148</v>
      </c>
      <c r="H30" s="36">
        <v>845.0</v>
      </c>
      <c r="I30" s="21">
        <f>VLOOKUP($A30,'Test Set'!$A:$E,4,FALSE)</f>
        <v>5</v>
      </c>
      <c r="J30" s="21" t="b">
        <f>LOWER(VLOOKUP($A30,'Test Set'!$A:$E,5,FALSE))="yes"</f>
        <v>1</v>
      </c>
      <c r="K30" s="21" t="b">
        <f t="shared" si="1"/>
        <v>1</v>
      </c>
    </row>
    <row r="31">
      <c r="A31" s="1" t="s">
        <v>344</v>
      </c>
      <c r="B31" s="1" t="s">
        <v>363</v>
      </c>
      <c r="C31" s="20">
        <v>5.0</v>
      </c>
      <c r="D31" s="20" t="b">
        <v>1</v>
      </c>
      <c r="E31" s="4" t="s">
        <v>400</v>
      </c>
      <c r="F31" s="10"/>
      <c r="G31" s="4" t="s">
        <v>148</v>
      </c>
      <c r="H31" s="36">
        <v>981.0</v>
      </c>
      <c r="I31" s="21">
        <f>VLOOKUP($A31,'Test Set'!$A:$E,4,FALSE)</f>
        <v>5</v>
      </c>
      <c r="J31" s="21" t="b">
        <f>LOWER(VLOOKUP($A31,'Test Set'!$A:$E,5,FALSE))="yes"</f>
        <v>1</v>
      </c>
      <c r="K31" s="21" t="b">
        <f t="shared" si="1"/>
        <v>1</v>
      </c>
    </row>
    <row r="32">
      <c r="A32" s="1" t="s">
        <v>346</v>
      </c>
      <c r="B32" s="1" t="s">
        <v>361</v>
      </c>
      <c r="C32" s="20">
        <v>5.0</v>
      </c>
      <c r="D32" s="20" t="b">
        <v>1</v>
      </c>
      <c r="E32" s="4" t="s">
        <v>401</v>
      </c>
      <c r="F32" s="10"/>
      <c r="G32" s="4" t="s">
        <v>148</v>
      </c>
      <c r="H32" s="36">
        <v>826.0</v>
      </c>
      <c r="I32" s="21">
        <f>VLOOKUP($A32,'Test Set'!$A:$E,4,FALSE)</f>
        <v>5</v>
      </c>
      <c r="J32" s="21" t="b">
        <f>LOWER(VLOOKUP($A32,'Test Set'!$A:$E,5,FALSE))="yes"</f>
        <v>1</v>
      </c>
      <c r="K32" s="21" t="b">
        <f t="shared" si="1"/>
        <v>1</v>
      </c>
    </row>
    <row r="33">
      <c r="A33" s="1" t="s">
        <v>346</v>
      </c>
      <c r="B33" s="1" t="s">
        <v>363</v>
      </c>
      <c r="C33" s="20">
        <v>2.0</v>
      </c>
      <c r="D33" s="20" t="b">
        <v>0</v>
      </c>
      <c r="E33" s="4" t="s">
        <v>402</v>
      </c>
      <c r="F33" s="4" t="s">
        <v>403</v>
      </c>
      <c r="G33" s="4" t="s">
        <v>148</v>
      </c>
      <c r="H33" s="36">
        <v>967.0</v>
      </c>
      <c r="I33" s="21">
        <f>VLOOKUP($A33,'Test Set'!$A:$E,4,FALSE)</f>
        <v>5</v>
      </c>
      <c r="J33" s="21" t="b">
        <f>LOWER(VLOOKUP($A33,'Test Set'!$A:$E,5,FALSE))="yes"</f>
        <v>1</v>
      </c>
      <c r="K33" s="21" t="b">
        <f t="shared" si="1"/>
        <v>0</v>
      </c>
    </row>
    <row r="34">
      <c r="A34" s="1" t="s">
        <v>348</v>
      </c>
      <c r="B34" s="1" t="s">
        <v>361</v>
      </c>
      <c r="C34" s="20">
        <v>2.0</v>
      </c>
      <c r="D34" s="20" t="b">
        <v>0</v>
      </c>
      <c r="E34" s="4" t="s">
        <v>404</v>
      </c>
      <c r="F34" s="4" t="s">
        <v>405</v>
      </c>
      <c r="G34" s="4" t="s">
        <v>148</v>
      </c>
      <c r="H34" s="36">
        <v>822.0</v>
      </c>
      <c r="I34" s="21">
        <f>VLOOKUP($A34,'Test Set'!$A:$E,4,FALSE)</f>
        <v>2</v>
      </c>
      <c r="J34" s="21" t="b">
        <f>LOWER(VLOOKUP($A34,'Test Set'!$A:$E,5,FALSE))="yes"</f>
        <v>0</v>
      </c>
      <c r="K34" s="21" t="b">
        <f t="shared" si="1"/>
        <v>1</v>
      </c>
    </row>
    <row r="35">
      <c r="A35" s="1" t="s">
        <v>348</v>
      </c>
      <c r="B35" s="1" t="s">
        <v>363</v>
      </c>
      <c r="C35" s="20">
        <v>2.0</v>
      </c>
      <c r="D35" s="20" t="b">
        <v>0</v>
      </c>
      <c r="E35" s="4" t="s">
        <v>406</v>
      </c>
      <c r="F35" s="4" t="s">
        <v>407</v>
      </c>
      <c r="G35" s="4" t="s">
        <v>148</v>
      </c>
      <c r="H35" s="36">
        <v>966.0</v>
      </c>
      <c r="I35" s="21">
        <f>VLOOKUP($A35,'Test Set'!$A:$E,4,FALSE)</f>
        <v>2</v>
      </c>
      <c r="J35" s="21" t="b">
        <f>LOWER(VLOOKUP($A35,'Test Set'!$A:$E,5,FALSE))="yes"</f>
        <v>0</v>
      </c>
      <c r="K35" s="21" t="b">
        <f t="shared" si="1"/>
        <v>1</v>
      </c>
    </row>
    <row r="36">
      <c r="A36" s="1" t="s">
        <v>351</v>
      </c>
      <c r="B36" s="1" t="s">
        <v>361</v>
      </c>
      <c r="C36" s="20">
        <v>5.0</v>
      </c>
      <c r="D36" s="20" t="b">
        <v>1</v>
      </c>
      <c r="E36" s="4" t="s">
        <v>408</v>
      </c>
      <c r="F36" s="10"/>
      <c r="G36" s="4" t="s">
        <v>148</v>
      </c>
      <c r="H36" s="36">
        <v>726.0</v>
      </c>
      <c r="I36" s="21">
        <f>VLOOKUP($A36,'Test Set'!$A:$E,4,FALSE)</f>
        <v>5</v>
      </c>
      <c r="J36" s="21" t="b">
        <f>LOWER(VLOOKUP($A36,'Test Set'!$A:$E,5,FALSE))="yes"</f>
        <v>1</v>
      </c>
      <c r="K36" s="21" t="b">
        <f t="shared" si="1"/>
        <v>1</v>
      </c>
    </row>
    <row r="37">
      <c r="A37" s="1" t="s">
        <v>351</v>
      </c>
      <c r="B37" s="1" t="s">
        <v>363</v>
      </c>
      <c r="C37" s="20">
        <v>2.0</v>
      </c>
      <c r="D37" s="20" t="b">
        <v>0</v>
      </c>
      <c r="E37" s="4" t="s">
        <v>409</v>
      </c>
      <c r="F37" s="4" t="s">
        <v>410</v>
      </c>
      <c r="G37" s="4" t="s">
        <v>148</v>
      </c>
      <c r="H37" s="36">
        <v>872.0</v>
      </c>
      <c r="I37" s="21">
        <f>VLOOKUP($A37,'Test Set'!$A:$E,4,FALSE)</f>
        <v>5</v>
      </c>
      <c r="J37" s="21" t="b">
        <f>LOWER(VLOOKUP($A37,'Test Set'!$A:$E,5,FALSE))="yes"</f>
        <v>1</v>
      </c>
      <c r="K37" s="21" t="b">
        <f t="shared" si="1"/>
        <v>0</v>
      </c>
    </row>
    <row r="38">
      <c r="A38" s="1" t="s">
        <v>353</v>
      </c>
      <c r="B38" s="1" t="s">
        <v>361</v>
      </c>
      <c r="C38" s="20">
        <v>5.0</v>
      </c>
      <c r="D38" s="20" t="b">
        <v>1</v>
      </c>
      <c r="E38" s="4" t="s">
        <v>411</v>
      </c>
      <c r="F38" s="10"/>
      <c r="G38" s="4" t="s">
        <v>148</v>
      </c>
      <c r="H38" s="36">
        <v>803.0</v>
      </c>
      <c r="I38" s="21">
        <f>VLOOKUP($A38,'Test Set'!$A:$E,4,FALSE)</f>
        <v>2</v>
      </c>
      <c r="J38" s="21" t="b">
        <f>LOWER(VLOOKUP($A38,'Test Set'!$A:$E,5,FALSE))="yes"</f>
        <v>0</v>
      </c>
      <c r="K38" s="21" t="b">
        <f t="shared" si="1"/>
        <v>0</v>
      </c>
    </row>
    <row r="39">
      <c r="A39" s="1" t="s">
        <v>353</v>
      </c>
      <c r="B39" s="1" t="s">
        <v>363</v>
      </c>
      <c r="C39" s="20">
        <v>2.0</v>
      </c>
      <c r="D39" s="20" t="b">
        <v>0</v>
      </c>
      <c r="E39" s="4" t="s">
        <v>412</v>
      </c>
      <c r="F39" s="4" t="s">
        <v>413</v>
      </c>
      <c r="G39" s="4" t="s">
        <v>148</v>
      </c>
      <c r="H39" s="36">
        <v>952.0</v>
      </c>
      <c r="I39" s="21">
        <f>VLOOKUP($A39,'Test Set'!$A:$E,4,FALSE)</f>
        <v>2</v>
      </c>
      <c r="J39" s="21" t="b">
        <f>LOWER(VLOOKUP($A39,'Test Set'!$A:$E,5,FALSE))="yes"</f>
        <v>0</v>
      </c>
      <c r="K39" s="21" t="b">
        <f t="shared" si="1"/>
        <v>1</v>
      </c>
    </row>
    <row r="40">
      <c r="E40" s="10"/>
      <c r="F40" s="10"/>
      <c r="G40" s="10"/>
      <c r="H40" s="10"/>
    </row>
    <row r="41">
      <c r="E41" s="10"/>
      <c r="F41" s="10"/>
      <c r="G41" s="10"/>
      <c r="H41" s="10"/>
    </row>
    <row r="42">
      <c r="E42" s="10"/>
      <c r="F42" s="10"/>
      <c r="G42" s="10"/>
      <c r="H42" s="10"/>
    </row>
    <row r="43">
      <c r="E43" s="10"/>
      <c r="F43" s="10"/>
      <c r="G43" s="10"/>
      <c r="H43" s="10"/>
    </row>
    <row r="44">
      <c r="E44" s="10"/>
      <c r="F44" s="10"/>
      <c r="G44" s="10"/>
      <c r="H44" s="10"/>
    </row>
    <row r="45">
      <c r="E45" s="10"/>
      <c r="F45" s="10"/>
      <c r="G45" s="10"/>
      <c r="H45" s="10"/>
    </row>
    <row r="46">
      <c r="E46" s="10"/>
      <c r="F46" s="10"/>
      <c r="G46" s="10"/>
      <c r="H46" s="10"/>
    </row>
    <row r="47">
      <c r="E47" s="10"/>
      <c r="F47" s="10"/>
      <c r="G47" s="10"/>
      <c r="H47" s="10"/>
    </row>
    <row r="48">
      <c r="E48" s="10"/>
      <c r="F48" s="10"/>
      <c r="G48" s="10"/>
      <c r="H48" s="10"/>
    </row>
    <row r="49">
      <c r="E49" s="10"/>
      <c r="F49" s="10"/>
      <c r="G49" s="10"/>
      <c r="H49" s="10"/>
    </row>
    <row r="50">
      <c r="E50" s="10"/>
      <c r="F50" s="10"/>
      <c r="G50" s="10"/>
      <c r="H50" s="10"/>
    </row>
    <row r="51">
      <c r="E51" s="10"/>
      <c r="F51" s="10"/>
      <c r="G51" s="10"/>
      <c r="H51" s="10"/>
    </row>
    <row r="52">
      <c r="E52" s="10"/>
      <c r="F52" s="10"/>
      <c r="G52" s="10"/>
      <c r="H52" s="10"/>
    </row>
    <row r="53">
      <c r="E53" s="10"/>
      <c r="F53" s="10"/>
      <c r="G53" s="10"/>
      <c r="H53" s="10"/>
    </row>
    <row r="54">
      <c r="E54" s="10"/>
      <c r="F54" s="10"/>
      <c r="G54" s="10"/>
      <c r="H54" s="10"/>
    </row>
    <row r="55">
      <c r="E55" s="10"/>
      <c r="F55" s="10"/>
      <c r="G55" s="10"/>
      <c r="H55" s="10"/>
    </row>
    <row r="56">
      <c r="E56" s="10"/>
      <c r="F56" s="10"/>
      <c r="G56" s="10"/>
      <c r="H56" s="10"/>
    </row>
    <row r="57">
      <c r="E57" s="10"/>
      <c r="F57" s="10"/>
      <c r="G57" s="10"/>
      <c r="H57" s="10"/>
    </row>
    <row r="58">
      <c r="E58" s="10"/>
      <c r="F58" s="10"/>
      <c r="G58" s="10"/>
      <c r="H58" s="10"/>
    </row>
    <row r="59">
      <c r="E59" s="10"/>
      <c r="F59" s="10"/>
      <c r="G59" s="10"/>
      <c r="H59" s="10"/>
    </row>
    <row r="60">
      <c r="E60" s="10"/>
      <c r="F60" s="10"/>
      <c r="G60" s="10"/>
      <c r="H60" s="10"/>
    </row>
    <row r="61">
      <c r="E61" s="10"/>
      <c r="F61" s="10"/>
      <c r="G61" s="10"/>
      <c r="H61" s="10"/>
    </row>
    <row r="62">
      <c r="E62" s="10"/>
      <c r="F62" s="10"/>
      <c r="G62" s="10"/>
      <c r="H62" s="10"/>
    </row>
    <row r="63">
      <c r="E63" s="10"/>
      <c r="F63" s="10"/>
      <c r="G63" s="10"/>
      <c r="H63" s="10"/>
    </row>
    <row r="64">
      <c r="E64" s="10"/>
      <c r="F64" s="10"/>
      <c r="G64" s="10"/>
      <c r="H64" s="10"/>
    </row>
    <row r="65">
      <c r="E65" s="10"/>
      <c r="F65" s="10"/>
      <c r="G65" s="10"/>
      <c r="H65" s="10"/>
    </row>
    <row r="66">
      <c r="E66" s="10"/>
      <c r="F66" s="10"/>
      <c r="G66" s="10"/>
      <c r="H66" s="10"/>
    </row>
    <row r="67">
      <c r="E67" s="10"/>
      <c r="F67" s="10"/>
      <c r="G67" s="10"/>
      <c r="H67" s="10"/>
    </row>
    <row r="68">
      <c r="E68" s="10"/>
      <c r="F68" s="10"/>
      <c r="G68" s="10"/>
      <c r="H68" s="10"/>
    </row>
    <row r="69">
      <c r="E69" s="10"/>
      <c r="F69" s="10"/>
      <c r="G69" s="10"/>
      <c r="H69" s="10"/>
    </row>
    <row r="70">
      <c r="E70" s="10"/>
      <c r="F70" s="10"/>
      <c r="G70" s="10"/>
      <c r="H70" s="10"/>
    </row>
    <row r="71">
      <c r="E71" s="10"/>
      <c r="F71" s="10"/>
      <c r="G71" s="10"/>
      <c r="H71" s="10"/>
    </row>
    <row r="72">
      <c r="E72" s="10"/>
      <c r="F72" s="10"/>
      <c r="G72" s="10"/>
      <c r="H72" s="10"/>
    </row>
    <row r="73">
      <c r="E73" s="10"/>
      <c r="F73" s="10"/>
      <c r="G73" s="10"/>
      <c r="H73" s="10"/>
    </row>
    <row r="74">
      <c r="E74" s="10"/>
      <c r="F74" s="10"/>
      <c r="G74" s="10"/>
      <c r="H74" s="10"/>
    </row>
    <row r="75">
      <c r="E75" s="10"/>
      <c r="F75" s="10"/>
      <c r="G75" s="10"/>
      <c r="H75" s="10"/>
    </row>
    <row r="76">
      <c r="E76" s="10"/>
      <c r="F76" s="10"/>
      <c r="G76" s="10"/>
      <c r="H76" s="10"/>
    </row>
    <row r="77">
      <c r="E77" s="10"/>
      <c r="F77" s="10"/>
      <c r="G77" s="10"/>
      <c r="H77" s="10"/>
    </row>
    <row r="78">
      <c r="E78" s="10"/>
      <c r="F78" s="10"/>
      <c r="G78" s="10"/>
      <c r="H78" s="10"/>
    </row>
    <row r="79">
      <c r="E79" s="10"/>
      <c r="F79" s="10"/>
      <c r="G79" s="10"/>
      <c r="H79" s="10"/>
    </row>
    <row r="80">
      <c r="E80" s="10"/>
      <c r="F80" s="10"/>
      <c r="G80" s="10"/>
      <c r="H80" s="10"/>
    </row>
    <row r="81">
      <c r="E81" s="10"/>
      <c r="F81" s="10"/>
      <c r="G81" s="10"/>
      <c r="H81" s="10"/>
    </row>
    <row r="82">
      <c r="E82" s="10"/>
      <c r="F82" s="10"/>
      <c r="G82" s="10"/>
      <c r="H82" s="10"/>
    </row>
    <row r="83">
      <c r="E83" s="10"/>
      <c r="F83" s="10"/>
      <c r="G83" s="10"/>
      <c r="H83" s="10"/>
    </row>
    <row r="84">
      <c r="E84" s="10"/>
      <c r="F84" s="10"/>
      <c r="G84" s="10"/>
      <c r="H84" s="10"/>
    </row>
    <row r="85">
      <c r="E85" s="10"/>
      <c r="F85" s="10"/>
      <c r="G85" s="10"/>
      <c r="H85" s="10"/>
    </row>
    <row r="86">
      <c r="E86" s="10"/>
      <c r="F86" s="10"/>
      <c r="G86" s="10"/>
      <c r="H86" s="10"/>
    </row>
    <row r="87">
      <c r="E87" s="10"/>
      <c r="F87" s="10"/>
      <c r="G87" s="10"/>
      <c r="H87" s="10"/>
    </row>
    <row r="88">
      <c r="E88" s="10"/>
      <c r="F88" s="10"/>
      <c r="G88" s="10"/>
      <c r="H88" s="10"/>
    </row>
    <row r="89">
      <c r="E89" s="10"/>
      <c r="F89" s="10"/>
      <c r="G89" s="10"/>
      <c r="H89" s="10"/>
    </row>
    <row r="90">
      <c r="E90" s="10"/>
      <c r="F90" s="10"/>
      <c r="G90" s="10"/>
      <c r="H90" s="10"/>
    </row>
    <row r="91">
      <c r="E91" s="10"/>
      <c r="F91" s="10"/>
      <c r="G91" s="10"/>
      <c r="H91" s="10"/>
    </row>
    <row r="92">
      <c r="E92" s="10"/>
      <c r="F92" s="10"/>
      <c r="G92" s="10"/>
      <c r="H92" s="10"/>
    </row>
    <row r="93">
      <c r="E93" s="10"/>
      <c r="F93" s="10"/>
      <c r="G93" s="10"/>
      <c r="H93" s="10"/>
    </row>
    <row r="94">
      <c r="E94" s="10"/>
      <c r="F94" s="10"/>
      <c r="G94" s="10"/>
      <c r="H94" s="10"/>
    </row>
    <row r="95">
      <c r="E95" s="10"/>
      <c r="F95" s="10"/>
      <c r="G95" s="10"/>
      <c r="H95" s="10"/>
    </row>
    <row r="96">
      <c r="E96" s="10"/>
      <c r="F96" s="10"/>
      <c r="G96" s="10"/>
      <c r="H96" s="10"/>
    </row>
    <row r="97">
      <c r="E97" s="10"/>
      <c r="F97" s="10"/>
      <c r="G97" s="10"/>
      <c r="H97" s="10"/>
    </row>
    <row r="98">
      <c r="E98" s="10"/>
      <c r="F98" s="10"/>
      <c r="G98" s="10"/>
      <c r="H98" s="10"/>
    </row>
    <row r="99">
      <c r="E99" s="10"/>
      <c r="F99" s="10"/>
      <c r="G99" s="10"/>
      <c r="H99" s="10"/>
    </row>
    <row r="100">
      <c r="E100" s="10"/>
      <c r="F100" s="10"/>
      <c r="G100" s="10"/>
      <c r="H100" s="10"/>
    </row>
    <row r="101">
      <c r="E101" s="10"/>
      <c r="F101" s="10"/>
      <c r="G101" s="10"/>
      <c r="H101" s="10"/>
    </row>
    <row r="102">
      <c r="E102" s="10"/>
      <c r="F102" s="10"/>
      <c r="G102" s="10"/>
      <c r="H102" s="10"/>
    </row>
    <row r="103">
      <c r="E103" s="10"/>
      <c r="F103" s="10"/>
      <c r="G103" s="10"/>
      <c r="H103" s="10"/>
    </row>
    <row r="104">
      <c r="E104" s="10"/>
      <c r="F104" s="10"/>
      <c r="G104" s="10"/>
      <c r="H104" s="10"/>
    </row>
    <row r="105">
      <c r="E105" s="10"/>
      <c r="F105" s="10"/>
      <c r="G105" s="10"/>
      <c r="H105" s="10"/>
    </row>
    <row r="106">
      <c r="E106" s="10"/>
      <c r="F106" s="10"/>
      <c r="G106" s="10"/>
      <c r="H106" s="10"/>
    </row>
    <row r="107">
      <c r="E107" s="10"/>
      <c r="F107" s="10"/>
      <c r="G107" s="10"/>
      <c r="H107" s="10"/>
    </row>
    <row r="108">
      <c r="E108" s="10"/>
      <c r="F108" s="10"/>
      <c r="G108" s="10"/>
      <c r="H108" s="10"/>
    </row>
    <row r="109">
      <c r="E109" s="10"/>
      <c r="F109" s="10"/>
      <c r="G109" s="10"/>
      <c r="H109" s="10"/>
    </row>
    <row r="110">
      <c r="E110" s="10"/>
      <c r="F110" s="10"/>
      <c r="G110" s="10"/>
      <c r="H110" s="10"/>
    </row>
    <row r="111">
      <c r="E111" s="10"/>
      <c r="F111" s="10"/>
      <c r="G111" s="10"/>
      <c r="H111" s="10"/>
    </row>
    <row r="112">
      <c r="E112" s="10"/>
      <c r="F112" s="10"/>
      <c r="G112" s="10"/>
      <c r="H112" s="10"/>
    </row>
    <row r="113">
      <c r="E113" s="10"/>
      <c r="F113" s="10"/>
      <c r="G113" s="10"/>
      <c r="H113" s="10"/>
    </row>
    <row r="114">
      <c r="E114" s="10"/>
      <c r="F114" s="10"/>
      <c r="G114" s="10"/>
      <c r="H114" s="10"/>
    </row>
    <row r="115">
      <c r="E115" s="10"/>
      <c r="F115" s="10"/>
      <c r="G115" s="10"/>
      <c r="H115" s="10"/>
    </row>
    <row r="116">
      <c r="E116" s="10"/>
      <c r="F116" s="10"/>
      <c r="G116" s="10"/>
      <c r="H116" s="10"/>
    </row>
    <row r="117">
      <c r="E117" s="10"/>
      <c r="F117" s="10"/>
      <c r="G117" s="10"/>
      <c r="H117" s="10"/>
    </row>
    <row r="118">
      <c r="E118" s="10"/>
      <c r="F118" s="10"/>
      <c r="G118" s="10"/>
      <c r="H118" s="10"/>
    </row>
    <row r="119">
      <c r="E119" s="10"/>
      <c r="F119" s="10"/>
      <c r="G119" s="10"/>
      <c r="H119" s="10"/>
    </row>
    <row r="120">
      <c r="E120" s="10"/>
      <c r="F120" s="10"/>
      <c r="G120" s="10"/>
      <c r="H120" s="10"/>
    </row>
    <row r="121">
      <c r="E121" s="10"/>
      <c r="F121" s="10"/>
      <c r="G121" s="10"/>
      <c r="H121" s="10"/>
    </row>
    <row r="122">
      <c r="E122" s="10"/>
      <c r="F122" s="10"/>
      <c r="G122" s="10"/>
      <c r="H122" s="10"/>
    </row>
    <row r="123">
      <c r="E123" s="10"/>
      <c r="F123" s="10"/>
      <c r="G123" s="10"/>
      <c r="H123" s="10"/>
    </row>
    <row r="124">
      <c r="E124" s="10"/>
      <c r="F124" s="10"/>
      <c r="G124" s="10"/>
      <c r="H124" s="10"/>
    </row>
    <row r="125">
      <c r="E125" s="10"/>
      <c r="F125" s="10"/>
      <c r="G125" s="10"/>
      <c r="H125" s="10"/>
    </row>
    <row r="126">
      <c r="E126" s="10"/>
      <c r="F126" s="10"/>
      <c r="G126" s="10"/>
      <c r="H126" s="10"/>
    </row>
    <row r="127">
      <c r="E127" s="10"/>
      <c r="F127" s="10"/>
      <c r="G127" s="10"/>
      <c r="H127" s="10"/>
    </row>
    <row r="128">
      <c r="E128" s="10"/>
      <c r="F128" s="10"/>
      <c r="G128" s="10"/>
      <c r="H128" s="10"/>
    </row>
    <row r="129">
      <c r="E129" s="10"/>
      <c r="F129" s="10"/>
      <c r="G129" s="10"/>
      <c r="H129" s="10"/>
    </row>
    <row r="130">
      <c r="E130" s="10"/>
      <c r="F130" s="10"/>
      <c r="G130" s="10"/>
      <c r="H130" s="10"/>
    </row>
    <row r="131">
      <c r="E131" s="10"/>
      <c r="F131" s="10"/>
      <c r="G131" s="10"/>
      <c r="H131" s="10"/>
    </row>
    <row r="132">
      <c r="E132" s="10"/>
      <c r="F132" s="10"/>
      <c r="G132" s="10"/>
      <c r="H132" s="10"/>
    </row>
    <row r="133">
      <c r="E133" s="10"/>
      <c r="F133" s="10"/>
      <c r="G133" s="10"/>
      <c r="H133" s="10"/>
    </row>
    <row r="134">
      <c r="E134" s="10"/>
      <c r="F134" s="10"/>
      <c r="G134" s="10"/>
      <c r="H134" s="10"/>
    </row>
    <row r="135">
      <c r="E135" s="10"/>
      <c r="F135" s="10"/>
      <c r="G135" s="10"/>
      <c r="H135" s="10"/>
    </row>
    <row r="136">
      <c r="E136" s="10"/>
      <c r="F136" s="10"/>
      <c r="G136" s="10"/>
      <c r="H136" s="10"/>
    </row>
    <row r="137">
      <c r="E137" s="10"/>
      <c r="F137" s="10"/>
      <c r="G137" s="10"/>
      <c r="H137" s="10"/>
    </row>
    <row r="138">
      <c r="E138" s="10"/>
      <c r="F138" s="10"/>
      <c r="G138" s="10"/>
      <c r="H138" s="10"/>
    </row>
    <row r="139">
      <c r="E139" s="10"/>
      <c r="F139" s="10"/>
      <c r="G139" s="10"/>
      <c r="H139" s="10"/>
    </row>
    <row r="140">
      <c r="E140" s="10"/>
      <c r="F140" s="10"/>
      <c r="G140" s="10"/>
      <c r="H140" s="10"/>
    </row>
    <row r="141">
      <c r="E141" s="10"/>
      <c r="F141" s="10"/>
      <c r="G141" s="10"/>
      <c r="H141" s="10"/>
    </row>
    <row r="142">
      <c r="E142" s="10"/>
      <c r="F142" s="10"/>
      <c r="G142" s="10"/>
      <c r="H142" s="10"/>
    </row>
    <row r="143">
      <c r="E143" s="10"/>
      <c r="F143" s="10"/>
      <c r="G143" s="10"/>
      <c r="H143" s="10"/>
    </row>
    <row r="144">
      <c r="E144" s="10"/>
      <c r="F144" s="10"/>
      <c r="G144" s="10"/>
      <c r="H144" s="10"/>
    </row>
    <row r="145">
      <c r="E145" s="10"/>
      <c r="F145" s="10"/>
      <c r="G145" s="10"/>
      <c r="H145" s="10"/>
    </row>
    <row r="146">
      <c r="E146" s="10"/>
      <c r="F146" s="10"/>
      <c r="G146" s="10"/>
      <c r="H146" s="10"/>
    </row>
    <row r="147">
      <c r="E147" s="10"/>
      <c r="F147" s="10"/>
      <c r="G147" s="10"/>
      <c r="H147" s="10"/>
    </row>
    <row r="148">
      <c r="E148" s="10"/>
      <c r="F148" s="10"/>
      <c r="G148" s="10"/>
      <c r="H148" s="10"/>
    </row>
    <row r="149">
      <c r="E149" s="10"/>
      <c r="F149" s="10"/>
      <c r="G149" s="10"/>
      <c r="H149" s="10"/>
    </row>
    <row r="150">
      <c r="E150" s="10"/>
      <c r="F150" s="10"/>
      <c r="G150" s="10"/>
      <c r="H150" s="10"/>
    </row>
    <row r="151">
      <c r="E151" s="10"/>
      <c r="F151" s="10"/>
      <c r="G151" s="10"/>
      <c r="H151" s="10"/>
    </row>
    <row r="152">
      <c r="E152" s="10"/>
      <c r="F152" s="10"/>
      <c r="G152" s="10"/>
      <c r="H152" s="10"/>
    </row>
    <row r="153">
      <c r="E153" s="10"/>
      <c r="F153" s="10"/>
      <c r="G153" s="10"/>
      <c r="H153" s="10"/>
    </row>
    <row r="154">
      <c r="E154" s="10"/>
      <c r="F154" s="10"/>
      <c r="G154" s="10"/>
      <c r="H154" s="10"/>
    </row>
    <row r="155">
      <c r="E155" s="10"/>
      <c r="F155" s="10"/>
      <c r="G155" s="10"/>
      <c r="H155" s="10"/>
    </row>
    <row r="156">
      <c r="E156" s="10"/>
      <c r="F156" s="10"/>
      <c r="G156" s="10"/>
      <c r="H156" s="10"/>
    </row>
    <row r="157">
      <c r="E157" s="10"/>
      <c r="F157" s="10"/>
      <c r="G157" s="10"/>
      <c r="H157" s="10"/>
    </row>
    <row r="158">
      <c r="E158" s="10"/>
      <c r="F158" s="10"/>
      <c r="G158" s="10"/>
      <c r="H158" s="10"/>
    </row>
    <row r="159">
      <c r="E159" s="10"/>
      <c r="F159" s="10"/>
      <c r="G159" s="10"/>
      <c r="H159" s="10"/>
    </row>
    <row r="160">
      <c r="E160" s="10"/>
      <c r="F160" s="10"/>
      <c r="G160" s="10"/>
      <c r="H160" s="10"/>
    </row>
    <row r="161">
      <c r="E161" s="10"/>
      <c r="F161" s="10"/>
      <c r="G161" s="10"/>
      <c r="H161" s="10"/>
    </row>
    <row r="162">
      <c r="E162" s="10"/>
      <c r="F162" s="10"/>
      <c r="G162" s="10"/>
      <c r="H162" s="10"/>
    </row>
    <row r="163">
      <c r="E163" s="10"/>
      <c r="F163" s="10"/>
      <c r="G163" s="10"/>
      <c r="H163" s="10"/>
    </row>
    <row r="164">
      <c r="E164" s="10"/>
      <c r="F164" s="10"/>
      <c r="G164" s="10"/>
      <c r="H164" s="10"/>
    </row>
    <row r="165">
      <c r="E165" s="10"/>
      <c r="F165" s="10"/>
      <c r="G165" s="10"/>
      <c r="H165" s="10"/>
    </row>
    <row r="166">
      <c r="E166" s="10"/>
      <c r="F166" s="10"/>
      <c r="G166" s="10"/>
      <c r="H166" s="10"/>
    </row>
    <row r="167">
      <c r="E167" s="10"/>
      <c r="F167" s="10"/>
      <c r="G167" s="10"/>
      <c r="H167" s="10"/>
    </row>
    <row r="168">
      <c r="E168" s="10"/>
      <c r="F168" s="10"/>
      <c r="G168" s="10"/>
      <c r="H168" s="10"/>
    </row>
    <row r="169">
      <c r="E169" s="10"/>
      <c r="F169" s="10"/>
      <c r="G169" s="10"/>
      <c r="H169" s="10"/>
    </row>
    <row r="170">
      <c r="E170" s="10"/>
      <c r="F170" s="10"/>
      <c r="G170" s="10"/>
      <c r="H170" s="10"/>
    </row>
    <row r="171">
      <c r="E171" s="10"/>
      <c r="F171" s="10"/>
      <c r="G171" s="10"/>
      <c r="H171" s="10"/>
    </row>
    <row r="172">
      <c r="E172" s="10"/>
      <c r="F172" s="10"/>
      <c r="G172" s="10"/>
      <c r="H172" s="10"/>
    </row>
    <row r="173">
      <c r="E173" s="10"/>
      <c r="F173" s="10"/>
      <c r="G173" s="10"/>
      <c r="H173" s="10"/>
    </row>
    <row r="174">
      <c r="E174" s="10"/>
      <c r="F174" s="10"/>
      <c r="G174" s="10"/>
      <c r="H174" s="10"/>
    </row>
    <row r="175">
      <c r="E175" s="10"/>
      <c r="F175" s="10"/>
      <c r="G175" s="10"/>
      <c r="H175" s="10"/>
    </row>
    <row r="176">
      <c r="E176" s="10"/>
      <c r="F176" s="10"/>
      <c r="G176" s="10"/>
      <c r="H176" s="10"/>
    </row>
    <row r="177">
      <c r="E177" s="10"/>
      <c r="F177" s="10"/>
      <c r="G177" s="10"/>
      <c r="H177" s="10"/>
    </row>
    <row r="178">
      <c r="E178" s="10"/>
      <c r="F178" s="10"/>
      <c r="G178" s="10"/>
      <c r="H178" s="10"/>
    </row>
    <row r="179">
      <c r="E179" s="10"/>
      <c r="F179" s="10"/>
      <c r="G179" s="10"/>
      <c r="H179" s="10"/>
    </row>
    <row r="180">
      <c r="E180" s="10"/>
      <c r="F180" s="10"/>
      <c r="G180" s="10"/>
      <c r="H180" s="10"/>
    </row>
    <row r="181">
      <c r="E181" s="10"/>
      <c r="F181" s="10"/>
      <c r="G181" s="10"/>
      <c r="H181" s="10"/>
    </row>
    <row r="182">
      <c r="E182" s="10"/>
      <c r="F182" s="10"/>
      <c r="G182" s="10"/>
      <c r="H182" s="10"/>
    </row>
    <row r="183">
      <c r="E183" s="10"/>
      <c r="F183" s="10"/>
      <c r="G183" s="10"/>
      <c r="H183" s="10"/>
    </row>
    <row r="184">
      <c r="E184" s="10"/>
      <c r="F184" s="10"/>
      <c r="G184" s="10"/>
      <c r="H184" s="10"/>
    </row>
    <row r="185">
      <c r="E185" s="10"/>
      <c r="F185" s="10"/>
      <c r="G185" s="10"/>
      <c r="H185" s="10"/>
    </row>
    <row r="186">
      <c r="E186" s="10"/>
      <c r="F186" s="10"/>
      <c r="G186" s="10"/>
      <c r="H186" s="10"/>
    </row>
    <row r="187">
      <c r="E187" s="10"/>
      <c r="F187" s="10"/>
      <c r="G187" s="10"/>
      <c r="H187" s="10"/>
    </row>
    <row r="188">
      <c r="E188" s="10"/>
      <c r="F188" s="10"/>
      <c r="G188" s="10"/>
      <c r="H188" s="10"/>
    </row>
    <row r="189">
      <c r="E189" s="10"/>
      <c r="F189" s="10"/>
      <c r="G189" s="10"/>
      <c r="H189" s="10"/>
    </row>
    <row r="190">
      <c r="E190" s="10"/>
      <c r="F190" s="10"/>
      <c r="G190" s="10"/>
      <c r="H190" s="10"/>
    </row>
    <row r="191">
      <c r="E191" s="10"/>
      <c r="F191" s="10"/>
      <c r="G191" s="10"/>
      <c r="H191" s="10"/>
    </row>
    <row r="192">
      <c r="E192" s="10"/>
      <c r="F192" s="10"/>
      <c r="G192" s="10"/>
      <c r="H192" s="10"/>
    </row>
    <row r="193">
      <c r="E193" s="10"/>
      <c r="F193" s="10"/>
      <c r="G193" s="10"/>
      <c r="H193" s="10"/>
    </row>
    <row r="194">
      <c r="E194" s="10"/>
      <c r="F194" s="10"/>
      <c r="G194" s="10"/>
      <c r="H194" s="10"/>
    </row>
    <row r="195">
      <c r="E195" s="10"/>
      <c r="F195" s="10"/>
      <c r="G195" s="10"/>
      <c r="H195" s="10"/>
    </row>
    <row r="196">
      <c r="E196" s="10"/>
      <c r="F196" s="10"/>
      <c r="G196" s="10"/>
      <c r="H196" s="10"/>
    </row>
    <row r="197">
      <c r="E197" s="10"/>
      <c r="F197" s="10"/>
      <c r="G197" s="10"/>
      <c r="H197" s="10"/>
    </row>
    <row r="198">
      <c r="E198" s="10"/>
      <c r="F198" s="10"/>
      <c r="G198" s="10"/>
      <c r="H198" s="10"/>
    </row>
    <row r="199">
      <c r="E199" s="10"/>
      <c r="F199" s="10"/>
      <c r="G199" s="10"/>
      <c r="H199" s="10"/>
    </row>
    <row r="200">
      <c r="E200" s="10"/>
      <c r="F200" s="10"/>
      <c r="G200" s="10"/>
      <c r="H200" s="10"/>
    </row>
    <row r="201">
      <c r="E201" s="10"/>
      <c r="F201" s="10"/>
      <c r="G201" s="10"/>
      <c r="H201" s="10"/>
    </row>
    <row r="202">
      <c r="E202" s="10"/>
      <c r="F202" s="10"/>
      <c r="G202" s="10"/>
      <c r="H202" s="10"/>
    </row>
    <row r="203">
      <c r="E203" s="10"/>
      <c r="F203" s="10"/>
      <c r="G203" s="10"/>
      <c r="H203" s="10"/>
    </row>
    <row r="204">
      <c r="E204" s="10"/>
      <c r="F204" s="10"/>
      <c r="G204" s="10"/>
      <c r="H204" s="10"/>
    </row>
    <row r="205">
      <c r="E205" s="10"/>
      <c r="F205" s="10"/>
      <c r="G205" s="10"/>
      <c r="H205" s="10"/>
    </row>
    <row r="206">
      <c r="E206" s="10"/>
      <c r="F206" s="10"/>
      <c r="G206" s="10"/>
      <c r="H206" s="10"/>
    </row>
    <row r="207">
      <c r="E207" s="10"/>
      <c r="F207" s="10"/>
      <c r="G207" s="10"/>
      <c r="H207" s="10"/>
    </row>
    <row r="208">
      <c r="E208" s="10"/>
      <c r="F208" s="10"/>
      <c r="G208" s="10"/>
      <c r="H208" s="10"/>
    </row>
    <row r="209">
      <c r="E209" s="10"/>
      <c r="F209" s="10"/>
      <c r="G209" s="10"/>
      <c r="H209" s="10"/>
    </row>
    <row r="210">
      <c r="E210" s="10"/>
      <c r="F210" s="10"/>
      <c r="G210" s="10"/>
      <c r="H210" s="10"/>
    </row>
    <row r="211">
      <c r="E211" s="10"/>
      <c r="F211" s="10"/>
      <c r="G211" s="10"/>
      <c r="H211" s="10"/>
    </row>
    <row r="212">
      <c r="E212" s="10"/>
      <c r="F212" s="10"/>
      <c r="G212" s="10"/>
      <c r="H212" s="10"/>
    </row>
    <row r="213">
      <c r="E213" s="10"/>
      <c r="F213" s="10"/>
      <c r="G213" s="10"/>
      <c r="H213" s="10"/>
    </row>
    <row r="214">
      <c r="E214" s="10"/>
      <c r="F214" s="10"/>
      <c r="G214" s="10"/>
      <c r="H214" s="10"/>
    </row>
    <row r="215">
      <c r="E215" s="10"/>
      <c r="F215" s="10"/>
      <c r="G215" s="10"/>
      <c r="H215" s="10"/>
    </row>
    <row r="216">
      <c r="E216" s="10"/>
      <c r="F216" s="10"/>
      <c r="G216" s="10"/>
      <c r="H216" s="10"/>
    </row>
    <row r="217">
      <c r="E217" s="10"/>
      <c r="F217" s="10"/>
      <c r="G217" s="10"/>
      <c r="H217" s="10"/>
    </row>
    <row r="218">
      <c r="E218" s="10"/>
      <c r="F218" s="10"/>
      <c r="G218" s="10"/>
      <c r="H218" s="10"/>
    </row>
    <row r="219">
      <c r="E219" s="10"/>
      <c r="F219" s="10"/>
      <c r="G219" s="10"/>
      <c r="H219" s="10"/>
    </row>
    <row r="220">
      <c r="E220" s="10"/>
      <c r="F220" s="10"/>
      <c r="G220" s="10"/>
      <c r="H220" s="10"/>
    </row>
    <row r="221">
      <c r="E221" s="10"/>
      <c r="F221" s="10"/>
      <c r="G221" s="10"/>
      <c r="H221" s="10"/>
    </row>
    <row r="222">
      <c r="E222" s="10"/>
      <c r="F222" s="10"/>
      <c r="G222" s="10"/>
      <c r="H222" s="10"/>
    </row>
    <row r="223">
      <c r="E223" s="10"/>
      <c r="F223" s="10"/>
      <c r="G223" s="10"/>
      <c r="H223" s="10"/>
    </row>
    <row r="224">
      <c r="E224" s="10"/>
      <c r="F224" s="10"/>
      <c r="G224" s="10"/>
      <c r="H224" s="10"/>
    </row>
    <row r="225">
      <c r="E225" s="10"/>
      <c r="F225" s="10"/>
      <c r="G225" s="10"/>
      <c r="H225" s="10"/>
    </row>
    <row r="226">
      <c r="E226" s="10"/>
      <c r="F226" s="10"/>
      <c r="G226" s="10"/>
      <c r="H226" s="10"/>
    </row>
    <row r="227">
      <c r="E227" s="10"/>
      <c r="F227" s="10"/>
      <c r="G227" s="10"/>
      <c r="H227" s="10"/>
    </row>
    <row r="228">
      <c r="E228" s="10"/>
      <c r="F228" s="10"/>
      <c r="G228" s="10"/>
      <c r="H228" s="10"/>
    </row>
    <row r="229">
      <c r="E229" s="10"/>
      <c r="F229" s="10"/>
      <c r="G229" s="10"/>
      <c r="H229" s="10"/>
    </row>
    <row r="230">
      <c r="E230" s="10"/>
      <c r="F230" s="10"/>
      <c r="G230" s="10"/>
      <c r="H230" s="10"/>
    </row>
    <row r="231">
      <c r="E231" s="10"/>
      <c r="F231" s="10"/>
      <c r="G231" s="10"/>
      <c r="H231" s="10"/>
    </row>
    <row r="232">
      <c r="E232" s="10"/>
      <c r="F232" s="10"/>
      <c r="G232" s="10"/>
      <c r="H232" s="10"/>
    </row>
    <row r="233">
      <c r="E233" s="10"/>
      <c r="F233" s="10"/>
      <c r="G233" s="10"/>
      <c r="H233" s="10"/>
    </row>
    <row r="234">
      <c r="E234" s="10"/>
      <c r="F234" s="10"/>
      <c r="G234" s="10"/>
      <c r="H234" s="10"/>
    </row>
    <row r="235">
      <c r="E235" s="10"/>
      <c r="F235" s="10"/>
      <c r="G235" s="10"/>
      <c r="H235" s="10"/>
    </row>
    <row r="236">
      <c r="E236" s="10"/>
      <c r="F236" s="10"/>
      <c r="G236" s="10"/>
      <c r="H236" s="10"/>
    </row>
    <row r="237">
      <c r="E237" s="10"/>
      <c r="F237" s="10"/>
      <c r="G237" s="10"/>
      <c r="H237" s="10"/>
    </row>
    <row r="238">
      <c r="E238" s="10"/>
      <c r="F238" s="10"/>
      <c r="G238" s="10"/>
      <c r="H238" s="10"/>
    </row>
    <row r="239">
      <c r="E239" s="10"/>
      <c r="F239" s="10"/>
      <c r="G239" s="10"/>
      <c r="H239" s="10"/>
    </row>
    <row r="240">
      <c r="E240" s="10"/>
      <c r="F240" s="10"/>
      <c r="G240" s="10"/>
      <c r="H240" s="10"/>
    </row>
    <row r="241">
      <c r="E241" s="10"/>
      <c r="F241" s="10"/>
      <c r="G241" s="10"/>
      <c r="H241" s="10"/>
    </row>
    <row r="242">
      <c r="E242" s="10"/>
      <c r="F242" s="10"/>
      <c r="G242" s="10"/>
      <c r="H242" s="10"/>
    </row>
    <row r="243">
      <c r="E243" s="10"/>
      <c r="F243" s="10"/>
      <c r="G243" s="10"/>
      <c r="H243" s="10"/>
    </row>
    <row r="244">
      <c r="E244" s="10"/>
      <c r="F244" s="10"/>
      <c r="G244" s="10"/>
      <c r="H244" s="10"/>
    </row>
    <row r="245">
      <c r="E245" s="10"/>
      <c r="F245" s="10"/>
      <c r="G245" s="10"/>
      <c r="H245" s="10"/>
    </row>
    <row r="246">
      <c r="E246" s="10"/>
      <c r="F246" s="10"/>
      <c r="G246" s="10"/>
      <c r="H246" s="10"/>
    </row>
    <row r="247">
      <c r="E247" s="10"/>
      <c r="F247" s="10"/>
      <c r="G247" s="10"/>
      <c r="H247" s="10"/>
    </row>
    <row r="248">
      <c r="E248" s="10"/>
      <c r="F248" s="10"/>
      <c r="G248" s="10"/>
      <c r="H248" s="10"/>
    </row>
    <row r="249">
      <c r="E249" s="10"/>
      <c r="F249" s="10"/>
      <c r="G249" s="10"/>
      <c r="H249" s="10"/>
    </row>
    <row r="250">
      <c r="E250" s="10"/>
      <c r="F250" s="10"/>
      <c r="G250" s="10"/>
      <c r="H250" s="10"/>
    </row>
    <row r="251">
      <c r="E251" s="10"/>
      <c r="F251" s="10"/>
      <c r="G251" s="10"/>
      <c r="H251" s="10"/>
    </row>
    <row r="252">
      <c r="E252" s="10"/>
      <c r="F252" s="10"/>
      <c r="G252" s="10"/>
      <c r="H252" s="10"/>
    </row>
    <row r="253">
      <c r="E253" s="10"/>
      <c r="F253" s="10"/>
      <c r="G253" s="10"/>
      <c r="H253" s="10"/>
    </row>
    <row r="254">
      <c r="E254" s="10"/>
      <c r="F254" s="10"/>
      <c r="G254" s="10"/>
      <c r="H254" s="10"/>
    </row>
    <row r="255">
      <c r="E255" s="10"/>
      <c r="F255" s="10"/>
      <c r="G255" s="10"/>
      <c r="H255" s="10"/>
    </row>
    <row r="256">
      <c r="E256" s="10"/>
      <c r="F256" s="10"/>
      <c r="G256" s="10"/>
      <c r="H256" s="10"/>
    </row>
    <row r="257">
      <c r="E257" s="10"/>
      <c r="F257" s="10"/>
      <c r="G257" s="10"/>
      <c r="H257" s="10"/>
    </row>
    <row r="258">
      <c r="E258" s="10"/>
      <c r="F258" s="10"/>
      <c r="G258" s="10"/>
      <c r="H258" s="10"/>
    </row>
    <row r="259">
      <c r="E259" s="10"/>
      <c r="F259" s="10"/>
      <c r="G259" s="10"/>
      <c r="H259" s="10"/>
    </row>
    <row r="260">
      <c r="E260" s="10"/>
      <c r="F260" s="10"/>
      <c r="G260" s="10"/>
      <c r="H260" s="10"/>
    </row>
    <row r="261">
      <c r="E261" s="10"/>
      <c r="F261" s="10"/>
      <c r="G261" s="10"/>
      <c r="H261" s="10"/>
    </row>
    <row r="262">
      <c r="E262" s="10"/>
      <c r="F262" s="10"/>
      <c r="G262" s="10"/>
      <c r="H262" s="10"/>
    </row>
    <row r="263">
      <c r="E263" s="10"/>
      <c r="F263" s="10"/>
      <c r="G263" s="10"/>
      <c r="H263" s="10"/>
    </row>
    <row r="264">
      <c r="E264" s="10"/>
      <c r="F264" s="10"/>
      <c r="G264" s="10"/>
      <c r="H264" s="10"/>
    </row>
    <row r="265">
      <c r="E265" s="10"/>
      <c r="F265" s="10"/>
      <c r="G265" s="10"/>
      <c r="H265" s="10"/>
    </row>
    <row r="266">
      <c r="E266" s="10"/>
      <c r="F266" s="10"/>
      <c r="G266" s="10"/>
      <c r="H266" s="10"/>
    </row>
    <row r="267">
      <c r="E267" s="10"/>
      <c r="F267" s="10"/>
      <c r="G267" s="10"/>
      <c r="H267" s="10"/>
    </row>
    <row r="268">
      <c r="E268" s="10"/>
      <c r="F268" s="10"/>
      <c r="G268" s="10"/>
      <c r="H268" s="10"/>
    </row>
    <row r="269">
      <c r="E269" s="10"/>
      <c r="F269" s="10"/>
      <c r="G269" s="10"/>
      <c r="H269" s="10"/>
    </row>
    <row r="270">
      <c r="E270" s="10"/>
      <c r="F270" s="10"/>
      <c r="G270" s="10"/>
      <c r="H270" s="10"/>
    </row>
    <row r="271">
      <c r="E271" s="10"/>
      <c r="F271" s="10"/>
      <c r="G271" s="10"/>
      <c r="H271" s="10"/>
    </row>
    <row r="272">
      <c r="E272" s="10"/>
      <c r="F272" s="10"/>
      <c r="G272" s="10"/>
      <c r="H272" s="10"/>
    </row>
    <row r="273">
      <c r="E273" s="10"/>
      <c r="F273" s="10"/>
      <c r="G273" s="10"/>
      <c r="H273" s="10"/>
    </row>
    <row r="274">
      <c r="E274" s="10"/>
      <c r="F274" s="10"/>
      <c r="G274" s="10"/>
      <c r="H274" s="10"/>
    </row>
    <row r="275">
      <c r="E275" s="10"/>
      <c r="F275" s="10"/>
      <c r="G275" s="10"/>
      <c r="H275" s="10"/>
    </row>
    <row r="276">
      <c r="E276" s="10"/>
      <c r="F276" s="10"/>
      <c r="G276" s="10"/>
      <c r="H276" s="10"/>
    </row>
    <row r="277">
      <c r="E277" s="10"/>
      <c r="F277" s="10"/>
      <c r="G277" s="10"/>
      <c r="H277" s="10"/>
    </row>
    <row r="278">
      <c r="E278" s="10"/>
      <c r="F278" s="10"/>
      <c r="G278" s="10"/>
      <c r="H278" s="10"/>
    </row>
    <row r="279">
      <c r="E279" s="10"/>
      <c r="F279" s="10"/>
      <c r="G279" s="10"/>
      <c r="H279" s="10"/>
    </row>
    <row r="280">
      <c r="E280" s="10"/>
      <c r="F280" s="10"/>
      <c r="G280" s="10"/>
      <c r="H280" s="10"/>
    </row>
    <row r="281">
      <c r="E281" s="10"/>
      <c r="F281" s="10"/>
      <c r="G281" s="10"/>
      <c r="H281" s="10"/>
    </row>
    <row r="282">
      <c r="E282" s="10"/>
      <c r="F282" s="10"/>
      <c r="G282" s="10"/>
      <c r="H282" s="10"/>
    </row>
    <row r="283">
      <c r="E283" s="10"/>
      <c r="F283" s="10"/>
      <c r="G283" s="10"/>
      <c r="H283" s="10"/>
    </row>
    <row r="284">
      <c r="E284" s="10"/>
      <c r="F284" s="10"/>
      <c r="G284" s="10"/>
      <c r="H284" s="10"/>
    </row>
    <row r="285">
      <c r="E285" s="10"/>
      <c r="F285" s="10"/>
      <c r="G285" s="10"/>
      <c r="H285" s="10"/>
    </row>
    <row r="286">
      <c r="E286" s="10"/>
      <c r="F286" s="10"/>
      <c r="G286" s="10"/>
      <c r="H286" s="10"/>
    </row>
    <row r="287">
      <c r="E287" s="10"/>
      <c r="F287" s="10"/>
      <c r="G287" s="10"/>
      <c r="H287" s="10"/>
    </row>
    <row r="288">
      <c r="E288" s="10"/>
      <c r="F288" s="10"/>
      <c r="G288" s="10"/>
      <c r="H288" s="10"/>
    </row>
    <row r="289">
      <c r="E289" s="10"/>
      <c r="F289" s="10"/>
      <c r="G289" s="10"/>
      <c r="H289" s="10"/>
    </row>
    <row r="290">
      <c r="E290" s="10"/>
      <c r="F290" s="10"/>
      <c r="G290" s="10"/>
      <c r="H290" s="10"/>
    </row>
    <row r="291">
      <c r="E291" s="10"/>
      <c r="F291" s="10"/>
      <c r="G291" s="10"/>
      <c r="H291" s="10"/>
    </row>
    <row r="292">
      <c r="E292" s="10"/>
      <c r="F292" s="10"/>
      <c r="G292" s="10"/>
      <c r="H292" s="10"/>
    </row>
    <row r="293">
      <c r="E293" s="10"/>
      <c r="F293" s="10"/>
      <c r="G293" s="10"/>
      <c r="H293" s="10"/>
    </row>
    <row r="294">
      <c r="E294" s="10"/>
      <c r="F294" s="10"/>
      <c r="G294" s="10"/>
      <c r="H294" s="10"/>
    </row>
    <row r="295">
      <c r="E295" s="10"/>
      <c r="F295" s="10"/>
      <c r="G295" s="10"/>
      <c r="H295" s="10"/>
    </row>
    <row r="296">
      <c r="E296" s="10"/>
      <c r="F296" s="10"/>
      <c r="G296" s="10"/>
      <c r="H296" s="10"/>
    </row>
    <row r="297">
      <c r="E297" s="10"/>
      <c r="F297" s="10"/>
      <c r="G297" s="10"/>
      <c r="H297" s="10"/>
    </row>
    <row r="298">
      <c r="E298" s="10"/>
      <c r="F298" s="10"/>
      <c r="G298" s="10"/>
      <c r="H298" s="10"/>
    </row>
    <row r="299">
      <c r="E299" s="10"/>
      <c r="F299" s="10"/>
      <c r="G299" s="10"/>
      <c r="H299" s="10"/>
    </row>
    <row r="300">
      <c r="E300" s="10"/>
      <c r="F300" s="10"/>
      <c r="G300" s="10"/>
      <c r="H300" s="10"/>
    </row>
    <row r="301">
      <c r="E301" s="10"/>
      <c r="F301" s="10"/>
      <c r="G301" s="10"/>
      <c r="H301" s="10"/>
    </row>
    <row r="302">
      <c r="E302" s="10"/>
      <c r="F302" s="10"/>
      <c r="G302" s="10"/>
      <c r="H302" s="10"/>
    </row>
    <row r="303">
      <c r="E303" s="10"/>
      <c r="F303" s="10"/>
      <c r="G303" s="10"/>
      <c r="H303" s="10"/>
    </row>
    <row r="304">
      <c r="E304" s="10"/>
      <c r="F304" s="10"/>
      <c r="G304" s="10"/>
      <c r="H304" s="10"/>
    </row>
    <row r="305">
      <c r="E305" s="10"/>
      <c r="F305" s="10"/>
      <c r="G305" s="10"/>
      <c r="H305" s="10"/>
    </row>
    <row r="306">
      <c r="E306" s="10"/>
      <c r="F306" s="10"/>
      <c r="G306" s="10"/>
      <c r="H306" s="10"/>
    </row>
    <row r="307">
      <c r="E307" s="10"/>
      <c r="F307" s="10"/>
      <c r="G307" s="10"/>
      <c r="H307" s="10"/>
    </row>
    <row r="308">
      <c r="E308" s="10"/>
      <c r="F308" s="10"/>
      <c r="G308" s="10"/>
      <c r="H308" s="10"/>
    </row>
    <row r="309">
      <c r="E309" s="10"/>
      <c r="F309" s="10"/>
      <c r="G309" s="10"/>
      <c r="H309" s="10"/>
    </row>
    <row r="310">
      <c r="E310" s="10"/>
      <c r="F310" s="10"/>
      <c r="G310" s="10"/>
      <c r="H310" s="10"/>
    </row>
    <row r="311">
      <c r="E311" s="10"/>
      <c r="F311" s="10"/>
      <c r="G311" s="10"/>
      <c r="H311" s="10"/>
    </row>
    <row r="312">
      <c r="E312" s="10"/>
      <c r="F312" s="10"/>
      <c r="G312" s="10"/>
      <c r="H312" s="10"/>
    </row>
    <row r="313">
      <c r="E313" s="10"/>
      <c r="F313" s="10"/>
      <c r="G313" s="10"/>
      <c r="H313" s="10"/>
    </row>
    <row r="314">
      <c r="E314" s="10"/>
      <c r="F314" s="10"/>
      <c r="G314" s="10"/>
      <c r="H314" s="10"/>
    </row>
    <row r="315">
      <c r="E315" s="10"/>
      <c r="F315" s="10"/>
      <c r="G315" s="10"/>
      <c r="H315" s="10"/>
    </row>
    <row r="316">
      <c r="E316" s="10"/>
      <c r="F316" s="10"/>
      <c r="G316" s="10"/>
      <c r="H316" s="10"/>
    </row>
    <row r="317">
      <c r="E317" s="10"/>
      <c r="F317" s="10"/>
      <c r="G317" s="10"/>
      <c r="H317" s="10"/>
    </row>
    <row r="318">
      <c r="E318" s="10"/>
      <c r="F318" s="10"/>
      <c r="G318" s="10"/>
      <c r="H318" s="10"/>
    </row>
    <row r="319">
      <c r="E319" s="10"/>
      <c r="F319" s="10"/>
      <c r="G319" s="10"/>
      <c r="H319" s="10"/>
    </row>
    <row r="320">
      <c r="E320" s="10"/>
      <c r="F320" s="10"/>
      <c r="G320" s="10"/>
      <c r="H320" s="10"/>
    </row>
    <row r="321">
      <c r="E321" s="10"/>
      <c r="F321" s="10"/>
      <c r="G321" s="10"/>
      <c r="H321" s="10"/>
    </row>
    <row r="322">
      <c r="E322" s="10"/>
      <c r="F322" s="10"/>
      <c r="G322" s="10"/>
      <c r="H322" s="10"/>
    </row>
    <row r="323">
      <c r="E323" s="10"/>
      <c r="F323" s="10"/>
      <c r="G323" s="10"/>
      <c r="H323" s="10"/>
    </row>
    <row r="324">
      <c r="E324" s="10"/>
      <c r="F324" s="10"/>
      <c r="G324" s="10"/>
      <c r="H324" s="10"/>
    </row>
    <row r="325">
      <c r="E325" s="10"/>
      <c r="F325" s="10"/>
      <c r="G325" s="10"/>
      <c r="H325" s="10"/>
    </row>
    <row r="326">
      <c r="E326" s="10"/>
      <c r="F326" s="10"/>
      <c r="G326" s="10"/>
      <c r="H326" s="10"/>
    </row>
    <row r="327">
      <c r="E327" s="10"/>
      <c r="F327" s="10"/>
      <c r="G327" s="10"/>
      <c r="H327" s="10"/>
    </row>
    <row r="328">
      <c r="E328" s="10"/>
      <c r="F328" s="10"/>
      <c r="G328" s="10"/>
      <c r="H328" s="10"/>
    </row>
    <row r="329">
      <c r="E329" s="10"/>
      <c r="F329" s="10"/>
      <c r="G329" s="10"/>
      <c r="H329" s="10"/>
    </row>
    <row r="330">
      <c r="E330" s="10"/>
      <c r="F330" s="10"/>
      <c r="G330" s="10"/>
      <c r="H330" s="10"/>
    </row>
    <row r="331">
      <c r="E331" s="10"/>
      <c r="F331" s="10"/>
      <c r="G331" s="10"/>
      <c r="H331" s="10"/>
    </row>
    <row r="332">
      <c r="E332" s="10"/>
      <c r="F332" s="10"/>
      <c r="G332" s="10"/>
      <c r="H332" s="10"/>
    </row>
    <row r="333">
      <c r="E333" s="10"/>
      <c r="F333" s="10"/>
      <c r="G333" s="10"/>
      <c r="H333" s="10"/>
    </row>
    <row r="334">
      <c r="E334" s="10"/>
      <c r="F334" s="10"/>
      <c r="G334" s="10"/>
      <c r="H334" s="10"/>
    </row>
    <row r="335">
      <c r="E335" s="10"/>
      <c r="F335" s="10"/>
      <c r="G335" s="10"/>
      <c r="H335" s="10"/>
    </row>
    <row r="336">
      <c r="E336" s="10"/>
      <c r="F336" s="10"/>
      <c r="G336" s="10"/>
      <c r="H336" s="10"/>
    </row>
    <row r="337">
      <c r="E337" s="10"/>
      <c r="F337" s="10"/>
      <c r="G337" s="10"/>
      <c r="H337" s="10"/>
    </row>
    <row r="338">
      <c r="E338" s="10"/>
      <c r="F338" s="10"/>
      <c r="G338" s="10"/>
      <c r="H338" s="10"/>
    </row>
    <row r="339">
      <c r="E339" s="10"/>
      <c r="F339" s="10"/>
      <c r="G339" s="10"/>
      <c r="H339" s="10"/>
    </row>
    <row r="340">
      <c r="E340" s="10"/>
      <c r="F340" s="10"/>
      <c r="G340" s="10"/>
      <c r="H340" s="10"/>
    </row>
    <row r="341">
      <c r="E341" s="10"/>
      <c r="F341" s="10"/>
      <c r="G341" s="10"/>
      <c r="H341" s="10"/>
    </row>
    <row r="342">
      <c r="E342" s="10"/>
      <c r="F342" s="10"/>
      <c r="G342" s="10"/>
      <c r="H342" s="10"/>
    </row>
    <row r="343">
      <c r="E343" s="10"/>
      <c r="F343" s="10"/>
      <c r="G343" s="10"/>
      <c r="H343" s="10"/>
    </row>
    <row r="344">
      <c r="E344" s="10"/>
      <c r="F344" s="10"/>
      <c r="G344" s="10"/>
      <c r="H344" s="10"/>
    </row>
    <row r="345">
      <c r="E345" s="10"/>
      <c r="F345" s="10"/>
      <c r="G345" s="10"/>
      <c r="H345" s="10"/>
    </row>
    <row r="346">
      <c r="E346" s="10"/>
      <c r="F346" s="10"/>
      <c r="G346" s="10"/>
      <c r="H346" s="10"/>
    </row>
    <row r="347">
      <c r="E347" s="10"/>
      <c r="F347" s="10"/>
      <c r="G347" s="10"/>
      <c r="H347" s="10"/>
    </row>
    <row r="348">
      <c r="E348" s="10"/>
      <c r="F348" s="10"/>
      <c r="G348" s="10"/>
      <c r="H348" s="10"/>
    </row>
    <row r="349">
      <c r="E349" s="10"/>
      <c r="F349" s="10"/>
      <c r="G349" s="10"/>
      <c r="H349" s="10"/>
    </row>
    <row r="350">
      <c r="E350" s="10"/>
      <c r="F350" s="10"/>
      <c r="G350" s="10"/>
      <c r="H350" s="10"/>
    </row>
    <row r="351">
      <c r="E351" s="10"/>
      <c r="F351" s="10"/>
      <c r="G351" s="10"/>
      <c r="H351" s="10"/>
    </row>
    <row r="352">
      <c r="E352" s="10"/>
      <c r="F352" s="10"/>
      <c r="G352" s="10"/>
      <c r="H352" s="10"/>
    </row>
    <row r="353">
      <c r="E353" s="10"/>
      <c r="F353" s="10"/>
      <c r="G353" s="10"/>
      <c r="H353" s="10"/>
    </row>
    <row r="354">
      <c r="E354" s="10"/>
      <c r="F354" s="10"/>
      <c r="G354" s="10"/>
      <c r="H354" s="10"/>
    </row>
    <row r="355">
      <c r="E355" s="10"/>
      <c r="F355" s="10"/>
      <c r="G355" s="10"/>
      <c r="H355" s="10"/>
    </row>
    <row r="356">
      <c r="E356" s="10"/>
      <c r="F356" s="10"/>
      <c r="G356" s="10"/>
      <c r="H356" s="10"/>
    </row>
    <row r="357">
      <c r="E357" s="10"/>
      <c r="F357" s="10"/>
      <c r="G357" s="10"/>
      <c r="H357" s="10"/>
    </row>
    <row r="358">
      <c r="E358" s="10"/>
      <c r="F358" s="10"/>
      <c r="G358" s="10"/>
      <c r="H358" s="10"/>
    </row>
    <row r="359">
      <c r="E359" s="10"/>
      <c r="F359" s="10"/>
      <c r="G359" s="10"/>
      <c r="H359" s="10"/>
    </row>
    <row r="360">
      <c r="E360" s="10"/>
      <c r="F360" s="10"/>
      <c r="G360" s="10"/>
      <c r="H360" s="10"/>
    </row>
    <row r="361">
      <c r="E361" s="10"/>
      <c r="F361" s="10"/>
      <c r="G361" s="10"/>
      <c r="H361" s="10"/>
    </row>
    <row r="362">
      <c r="E362" s="10"/>
      <c r="F362" s="10"/>
      <c r="G362" s="10"/>
      <c r="H362" s="10"/>
    </row>
    <row r="363">
      <c r="E363" s="10"/>
      <c r="F363" s="10"/>
      <c r="G363" s="10"/>
      <c r="H363" s="10"/>
    </row>
    <row r="364">
      <c r="E364" s="10"/>
      <c r="F364" s="10"/>
      <c r="G364" s="10"/>
      <c r="H364" s="10"/>
    </row>
    <row r="365">
      <c r="E365" s="10"/>
      <c r="F365" s="10"/>
      <c r="G365" s="10"/>
      <c r="H365" s="10"/>
    </row>
    <row r="366">
      <c r="E366" s="10"/>
      <c r="F366" s="10"/>
      <c r="G366" s="10"/>
      <c r="H366" s="10"/>
    </row>
    <row r="367">
      <c r="E367" s="10"/>
      <c r="F367" s="10"/>
      <c r="G367" s="10"/>
      <c r="H367" s="10"/>
    </row>
    <row r="368">
      <c r="E368" s="10"/>
      <c r="F368" s="10"/>
      <c r="G368" s="10"/>
      <c r="H368" s="10"/>
    </row>
    <row r="369">
      <c r="E369" s="10"/>
      <c r="F369" s="10"/>
      <c r="G369" s="10"/>
      <c r="H369" s="10"/>
    </row>
    <row r="370">
      <c r="E370" s="10"/>
      <c r="F370" s="10"/>
      <c r="G370" s="10"/>
      <c r="H370" s="10"/>
    </row>
    <row r="371">
      <c r="E371" s="10"/>
      <c r="F371" s="10"/>
      <c r="G371" s="10"/>
      <c r="H371" s="10"/>
    </row>
    <row r="372">
      <c r="E372" s="10"/>
      <c r="F372" s="10"/>
      <c r="G372" s="10"/>
      <c r="H372" s="10"/>
    </row>
    <row r="373">
      <c r="E373" s="10"/>
      <c r="F373" s="10"/>
      <c r="G373" s="10"/>
      <c r="H373" s="10"/>
    </row>
    <row r="374">
      <c r="E374" s="10"/>
      <c r="F374" s="10"/>
      <c r="G374" s="10"/>
      <c r="H374" s="10"/>
    </row>
    <row r="375">
      <c r="E375" s="10"/>
      <c r="F375" s="10"/>
      <c r="G375" s="10"/>
      <c r="H375" s="10"/>
    </row>
    <row r="376">
      <c r="E376" s="10"/>
      <c r="F376" s="10"/>
      <c r="G376" s="10"/>
      <c r="H376" s="10"/>
    </row>
    <row r="377">
      <c r="E377" s="10"/>
      <c r="F377" s="10"/>
      <c r="G377" s="10"/>
      <c r="H377" s="10"/>
    </row>
    <row r="378">
      <c r="E378" s="10"/>
      <c r="F378" s="10"/>
      <c r="G378" s="10"/>
      <c r="H378" s="10"/>
    </row>
    <row r="379">
      <c r="E379" s="10"/>
      <c r="F379" s="10"/>
      <c r="G379" s="10"/>
      <c r="H379" s="10"/>
    </row>
    <row r="380">
      <c r="E380" s="10"/>
      <c r="F380" s="10"/>
      <c r="G380" s="10"/>
      <c r="H380" s="10"/>
    </row>
    <row r="381">
      <c r="E381" s="10"/>
      <c r="F381" s="10"/>
      <c r="G381" s="10"/>
      <c r="H381" s="10"/>
    </row>
    <row r="382">
      <c r="E382" s="10"/>
      <c r="F382" s="10"/>
      <c r="G382" s="10"/>
      <c r="H382" s="10"/>
    </row>
    <row r="383">
      <c r="E383" s="10"/>
      <c r="F383" s="10"/>
      <c r="G383" s="10"/>
      <c r="H383" s="10"/>
    </row>
    <row r="384">
      <c r="E384" s="10"/>
      <c r="F384" s="10"/>
      <c r="G384" s="10"/>
      <c r="H384" s="10"/>
    </row>
    <row r="385">
      <c r="E385" s="10"/>
      <c r="F385" s="10"/>
      <c r="G385" s="10"/>
      <c r="H385" s="10"/>
    </row>
    <row r="386">
      <c r="E386" s="10"/>
      <c r="F386" s="10"/>
      <c r="G386" s="10"/>
      <c r="H386" s="10"/>
    </row>
    <row r="387">
      <c r="E387" s="10"/>
      <c r="F387" s="10"/>
      <c r="G387" s="10"/>
      <c r="H387" s="10"/>
    </row>
    <row r="388">
      <c r="E388" s="10"/>
      <c r="F388" s="10"/>
      <c r="G388" s="10"/>
      <c r="H388" s="10"/>
    </row>
    <row r="389">
      <c r="E389" s="10"/>
      <c r="F389" s="10"/>
      <c r="G389" s="10"/>
      <c r="H389" s="10"/>
    </row>
    <row r="390">
      <c r="E390" s="10"/>
      <c r="F390" s="10"/>
      <c r="G390" s="10"/>
      <c r="H390" s="10"/>
    </row>
    <row r="391">
      <c r="E391" s="10"/>
      <c r="F391" s="10"/>
      <c r="G391" s="10"/>
      <c r="H391" s="10"/>
    </row>
    <row r="392">
      <c r="E392" s="10"/>
      <c r="F392" s="10"/>
      <c r="G392" s="10"/>
      <c r="H392" s="10"/>
    </row>
    <row r="393">
      <c r="E393" s="10"/>
      <c r="F393" s="10"/>
      <c r="G393" s="10"/>
      <c r="H393" s="10"/>
    </row>
    <row r="394">
      <c r="E394" s="10"/>
      <c r="F394" s="10"/>
      <c r="G394" s="10"/>
      <c r="H394" s="10"/>
    </row>
    <row r="395">
      <c r="E395" s="10"/>
      <c r="F395" s="10"/>
      <c r="G395" s="10"/>
      <c r="H395" s="10"/>
    </row>
    <row r="396">
      <c r="E396" s="10"/>
      <c r="F396" s="10"/>
      <c r="G396" s="10"/>
      <c r="H396" s="10"/>
    </row>
    <row r="397">
      <c r="E397" s="10"/>
      <c r="F397" s="10"/>
      <c r="G397" s="10"/>
      <c r="H397" s="10"/>
    </row>
    <row r="398">
      <c r="E398" s="10"/>
      <c r="F398" s="10"/>
      <c r="G398" s="10"/>
      <c r="H398" s="10"/>
    </row>
    <row r="399">
      <c r="E399" s="10"/>
      <c r="F399" s="10"/>
      <c r="G399" s="10"/>
      <c r="H399" s="10"/>
    </row>
    <row r="400">
      <c r="E400" s="10"/>
      <c r="F400" s="10"/>
      <c r="G400" s="10"/>
      <c r="H400" s="10"/>
    </row>
    <row r="401">
      <c r="E401" s="10"/>
      <c r="F401" s="10"/>
      <c r="G401" s="10"/>
      <c r="H401" s="10"/>
    </row>
    <row r="402">
      <c r="E402" s="10"/>
      <c r="F402" s="10"/>
      <c r="G402" s="10"/>
      <c r="H402" s="10"/>
    </row>
    <row r="403">
      <c r="E403" s="10"/>
      <c r="F403" s="10"/>
      <c r="G403" s="10"/>
      <c r="H403" s="10"/>
    </row>
    <row r="404">
      <c r="E404" s="10"/>
      <c r="F404" s="10"/>
      <c r="G404" s="10"/>
      <c r="H404" s="10"/>
    </row>
    <row r="405">
      <c r="E405" s="10"/>
      <c r="F405" s="10"/>
      <c r="G405" s="10"/>
      <c r="H405" s="10"/>
    </row>
    <row r="406">
      <c r="E406" s="10"/>
      <c r="F406" s="10"/>
      <c r="G406" s="10"/>
      <c r="H406" s="10"/>
    </row>
    <row r="407">
      <c r="E407" s="10"/>
      <c r="F407" s="10"/>
      <c r="G407" s="10"/>
      <c r="H407" s="10"/>
    </row>
    <row r="408">
      <c r="E408" s="10"/>
      <c r="F408" s="10"/>
      <c r="G408" s="10"/>
      <c r="H408" s="10"/>
    </row>
    <row r="409">
      <c r="E409" s="10"/>
      <c r="F409" s="10"/>
      <c r="G409" s="10"/>
      <c r="H409" s="10"/>
    </row>
    <row r="410">
      <c r="E410" s="10"/>
      <c r="F410" s="10"/>
      <c r="G410" s="10"/>
      <c r="H410" s="10"/>
    </row>
    <row r="411">
      <c r="E411" s="10"/>
      <c r="F411" s="10"/>
      <c r="G411" s="10"/>
      <c r="H411" s="10"/>
    </row>
    <row r="412">
      <c r="E412" s="10"/>
      <c r="F412" s="10"/>
      <c r="G412" s="10"/>
      <c r="H412" s="10"/>
    </row>
    <row r="413">
      <c r="E413" s="10"/>
      <c r="F413" s="10"/>
      <c r="G413" s="10"/>
      <c r="H413" s="10"/>
    </row>
    <row r="414">
      <c r="E414" s="10"/>
      <c r="F414" s="10"/>
      <c r="G414" s="10"/>
      <c r="H414" s="10"/>
    </row>
    <row r="415">
      <c r="E415" s="10"/>
      <c r="F415" s="10"/>
      <c r="G415" s="10"/>
      <c r="H415" s="10"/>
    </row>
    <row r="416">
      <c r="E416" s="10"/>
      <c r="F416" s="10"/>
      <c r="G416" s="10"/>
      <c r="H416" s="10"/>
    </row>
    <row r="417">
      <c r="E417" s="10"/>
      <c r="F417" s="10"/>
      <c r="G417" s="10"/>
      <c r="H417" s="10"/>
    </row>
    <row r="418">
      <c r="E418" s="10"/>
      <c r="F418" s="10"/>
      <c r="G418" s="10"/>
      <c r="H418" s="10"/>
    </row>
    <row r="419">
      <c r="E419" s="10"/>
      <c r="F419" s="10"/>
      <c r="G419" s="10"/>
      <c r="H419" s="10"/>
    </row>
    <row r="420">
      <c r="E420" s="10"/>
      <c r="F420" s="10"/>
      <c r="G420" s="10"/>
      <c r="H420" s="10"/>
    </row>
    <row r="421">
      <c r="E421" s="10"/>
      <c r="F421" s="10"/>
      <c r="G421" s="10"/>
      <c r="H421" s="10"/>
    </row>
    <row r="422">
      <c r="E422" s="10"/>
      <c r="F422" s="10"/>
      <c r="G422" s="10"/>
      <c r="H422" s="10"/>
    </row>
    <row r="423">
      <c r="E423" s="10"/>
      <c r="F423" s="10"/>
      <c r="G423" s="10"/>
      <c r="H423" s="10"/>
    </row>
    <row r="424">
      <c r="E424" s="10"/>
      <c r="F424" s="10"/>
      <c r="G424" s="10"/>
      <c r="H424" s="10"/>
    </row>
    <row r="425">
      <c r="E425" s="10"/>
      <c r="F425" s="10"/>
      <c r="G425" s="10"/>
      <c r="H425" s="10"/>
    </row>
    <row r="426">
      <c r="E426" s="10"/>
      <c r="F426" s="10"/>
      <c r="G426" s="10"/>
      <c r="H426" s="10"/>
    </row>
    <row r="427">
      <c r="E427" s="10"/>
      <c r="F427" s="10"/>
      <c r="G427" s="10"/>
      <c r="H427" s="10"/>
    </row>
    <row r="428">
      <c r="E428" s="10"/>
      <c r="F428" s="10"/>
      <c r="G428" s="10"/>
      <c r="H428" s="10"/>
    </row>
    <row r="429">
      <c r="E429" s="10"/>
      <c r="F429" s="10"/>
      <c r="G429" s="10"/>
      <c r="H429" s="10"/>
    </row>
    <row r="430">
      <c r="E430" s="10"/>
      <c r="F430" s="10"/>
      <c r="G430" s="10"/>
      <c r="H430" s="10"/>
    </row>
    <row r="431">
      <c r="E431" s="10"/>
      <c r="F431" s="10"/>
      <c r="G431" s="10"/>
      <c r="H431" s="10"/>
    </row>
    <row r="432">
      <c r="E432" s="10"/>
      <c r="F432" s="10"/>
      <c r="G432" s="10"/>
      <c r="H432" s="10"/>
    </row>
    <row r="433">
      <c r="E433" s="10"/>
      <c r="F433" s="10"/>
      <c r="G433" s="10"/>
      <c r="H433" s="10"/>
    </row>
    <row r="434">
      <c r="E434" s="10"/>
      <c r="F434" s="10"/>
      <c r="G434" s="10"/>
      <c r="H434" s="10"/>
    </row>
    <row r="435">
      <c r="E435" s="10"/>
      <c r="F435" s="10"/>
      <c r="G435" s="10"/>
      <c r="H435" s="10"/>
    </row>
    <row r="436">
      <c r="E436" s="10"/>
      <c r="F436" s="10"/>
      <c r="G436" s="10"/>
      <c r="H436" s="10"/>
    </row>
    <row r="437">
      <c r="E437" s="10"/>
      <c r="F437" s="10"/>
      <c r="G437" s="10"/>
      <c r="H437" s="10"/>
    </row>
    <row r="438">
      <c r="E438" s="10"/>
      <c r="F438" s="10"/>
      <c r="G438" s="10"/>
      <c r="H438" s="10"/>
    </row>
    <row r="439">
      <c r="E439" s="10"/>
      <c r="F439" s="10"/>
      <c r="G439" s="10"/>
      <c r="H439" s="10"/>
    </row>
    <row r="440">
      <c r="E440" s="10"/>
      <c r="F440" s="10"/>
      <c r="G440" s="10"/>
      <c r="H440" s="10"/>
    </row>
    <row r="441">
      <c r="E441" s="10"/>
      <c r="F441" s="10"/>
      <c r="G441" s="10"/>
      <c r="H441" s="10"/>
    </row>
    <row r="442">
      <c r="E442" s="10"/>
      <c r="F442" s="10"/>
      <c r="G442" s="10"/>
      <c r="H442" s="10"/>
    </row>
    <row r="443">
      <c r="E443" s="10"/>
      <c r="F443" s="10"/>
      <c r="G443" s="10"/>
      <c r="H443" s="10"/>
    </row>
    <row r="444">
      <c r="E444" s="10"/>
      <c r="F444" s="10"/>
      <c r="G444" s="10"/>
      <c r="H444" s="10"/>
    </row>
    <row r="445">
      <c r="E445" s="10"/>
      <c r="F445" s="10"/>
      <c r="G445" s="10"/>
      <c r="H445" s="10"/>
    </row>
    <row r="446">
      <c r="E446" s="10"/>
      <c r="F446" s="10"/>
      <c r="G446" s="10"/>
      <c r="H446" s="10"/>
    </row>
    <row r="447">
      <c r="E447" s="10"/>
      <c r="F447" s="10"/>
      <c r="G447" s="10"/>
      <c r="H447" s="10"/>
    </row>
    <row r="448">
      <c r="E448" s="10"/>
      <c r="F448" s="10"/>
      <c r="G448" s="10"/>
      <c r="H448" s="10"/>
    </row>
    <row r="449">
      <c r="E449" s="10"/>
      <c r="F449" s="10"/>
      <c r="G449" s="10"/>
      <c r="H449" s="10"/>
    </row>
    <row r="450">
      <c r="E450" s="10"/>
      <c r="F450" s="10"/>
      <c r="G450" s="10"/>
      <c r="H450" s="10"/>
    </row>
    <row r="451">
      <c r="E451" s="10"/>
      <c r="F451" s="10"/>
      <c r="G451" s="10"/>
      <c r="H451" s="10"/>
    </row>
    <row r="452">
      <c r="E452" s="10"/>
      <c r="F452" s="10"/>
      <c r="G452" s="10"/>
      <c r="H452" s="10"/>
    </row>
    <row r="453">
      <c r="E453" s="10"/>
      <c r="F453" s="10"/>
      <c r="G453" s="10"/>
      <c r="H453" s="10"/>
    </row>
    <row r="454">
      <c r="E454" s="10"/>
      <c r="F454" s="10"/>
      <c r="G454" s="10"/>
      <c r="H454" s="10"/>
    </row>
    <row r="455">
      <c r="E455" s="10"/>
      <c r="F455" s="10"/>
      <c r="G455" s="10"/>
      <c r="H455" s="10"/>
    </row>
    <row r="456">
      <c r="E456" s="10"/>
      <c r="F456" s="10"/>
      <c r="G456" s="10"/>
      <c r="H456" s="10"/>
    </row>
    <row r="457">
      <c r="E457" s="10"/>
      <c r="F457" s="10"/>
      <c r="G457" s="10"/>
      <c r="H457" s="10"/>
    </row>
    <row r="458">
      <c r="E458" s="10"/>
      <c r="F458" s="10"/>
      <c r="G458" s="10"/>
      <c r="H458" s="10"/>
    </row>
    <row r="459">
      <c r="E459" s="10"/>
      <c r="F459" s="10"/>
      <c r="G459" s="10"/>
      <c r="H459" s="10"/>
    </row>
    <row r="460">
      <c r="E460" s="10"/>
      <c r="F460" s="10"/>
      <c r="G460" s="10"/>
      <c r="H460" s="10"/>
    </row>
    <row r="461">
      <c r="E461" s="10"/>
      <c r="F461" s="10"/>
      <c r="G461" s="10"/>
      <c r="H461" s="10"/>
    </row>
    <row r="462">
      <c r="E462" s="10"/>
      <c r="F462" s="10"/>
      <c r="G462" s="10"/>
      <c r="H462" s="10"/>
    </row>
    <row r="463">
      <c r="E463" s="10"/>
      <c r="F463" s="10"/>
      <c r="G463" s="10"/>
      <c r="H463" s="10"/>
    </row>
    <row r="464">
      <c r="E464" s="10"/>
      <c r="F464" s="10"/>
      <c r="G464" s="10"/>
      <c r="H464" s="10"/>
    </row>
    <row r="465">
      <c r="E465" s="10"/>
      <c r="F465" s="10"/>
      <c r="G465" s="10"/>
      <c r="H465" s="10"/>
    </row>
    <row r="466">
      <c r="E466" s="10"/>
      <c r="F466" s="10"/>
      <c r="G466" s="10"/>
      <c r="H466" s="10"/>
    </row>
    <row r="467">
      <c r="E467" s="10"/>
      <c r="F467" s="10"/>
      <c r="G467" s="10"/>
      <c r="H467" s="10"/>
    </row>
    <row r="468">
      <c r="E468" s="10"/>
      <c r="F468" s="10"/>
      <c r="G468" s="10"/>
      <c r="H468" s="10"/>
    </row>
    <row r="469">
      <c r="E469" s="10"/>
      <c r="F469" s="10"/>
      <c r="G469" s="10"/>
      <c r="H469" s="10"/>
    </row>
    <row r="470">
      <c r="E470" s="10"/>
      <c r="F470" s="10"/>
      <c r="G470" s="10"/>
      <c r="H470" s="10"/>
    </row>
    <row r="471">
      <c r="E471" s="10"/>
      <c r="F471" s="10"/>
      <c r="G471" s="10"/>
      <c r="H471" s="10"/>
    </row>
    <row r="472">
      <c r="E472" s="10"/>
      <c r="F472" s="10"/>
      <c r="G472" s="10"/>
      <c r="H472" s="10"/>
    </row>
    <row r="473">
      <c r="E473" s="10"/>
      <c r="F473" s="10"/>
      <c r="G473" s="10"/>
      <c r="H473" s="10"/>
    </row>
    <row r="474">
      <c r="E474" s="10"/>
      <c r="F474" s="10"/>
      <c r="G474" s="10"/>
      <c r="H474" s="10"/>
    </row>
    <row r="475">
      <c r="E475" s="10"/>
      <c r="F475" s="10"/>
      <c r="G475" s="10"/>
      <c r="H475" s="10"/>
    </row>
    <row r="476">
      <c r="E476" s="10"/>
      <c r="F476" s="10"/>
      <c r="G476" s="10"/>
      <c r="H476" s="10"/>
    </row>
    <row r="477">
      <c r="E477" s="10"/>
      <c r="F477" s="10"/>
      <c r="G477" s="10"/>
      <c r="H477" s="10"/>
    </row>
    <row r="478">
      <c r="E478" s="10"/>
      <c r="F478" s="10"/>
      <c r="G478" s="10"/>
      <c r="H478" s="10"/>
    </row>
    <row r="479">
      <c r="E479" s="10"/>
      <c r="F479" s="10"/>
      <c r="G479" s="10"/>
      <c r="H479" s="10"/>
    </row>
    <row r="480">
      <c r="E480" s="10"/>
      <c r="F480" s="10"/>
      <c r="G480" s="10"/>
      <c r="H480" s="10"/>
    </row>
    <row r="481">
      <c r="E481" s="10"/>
      <c r="F481" s="10"/>
      <c r="G481" s="10"/>
      <c r="H481" s="10"/>
    </row>
    <row r="482">
      <c r="E482" s="10"/>
      <c r="F482" s="10"/>
      <c r="G482" s="10"/>
      <c r="H482" s="10"/>
    </row>
    <row r="483">
      <c r="E483" s="10"/>
      <c r="F483" s="10"/>
      <c r="G483" s="10"/>
      <c r="H483" s="10"/>
    </row>
    <row r="484">
      <c r="E484" s="10"/>
      <c r="F484" s="10"/>
      <c r="G484" s="10"/>
      <c r="H484" s="10"/>
    </row>
    <row r="485">
      <c r="E485" s="10"/>
      <c r="F485" s="10"/>
      <c r="G485" s="10"/>
      <c r="H485" s="10"/>
    </row>
    <row r="486">
      <c r="E486" s="10"/>
      <c r="F486" s="10"/>
      <c r="G486" s="10"/>
      <c r="H486" s="10"/>
    </row>
    <row r="487">
      <c r="E487" s="10"/>
      <c r="F487" s="10"/>
      <c r="G487" s="10"/>
      <c r="H487" s="10"/>
    </row>
    <row r="488">
      <c r="E488" s="10"/>
      <c r="F488" s="10"/>
      <c r="G488" s="10"/>
      <c r="H488" s="10"/>
    </row>
    <row r="489">
      <c r="E489" s="10"/>
      <c r="F489" s="10"/>
      <c r="G489" s="10"/>
      <c r="H489" s="10"/>
    </row>
    <row r="490">
      <c r="E490" s="10"/>
      <c r="F490" s="10"/>
      <c r="G490" s="10"/>
      <c r="H490" s="10"/>
    </row>
    <row r="491">
      <c r="E491" s="10"/>
      <c r="F491" s="10"/>
      <c r="G491" s="10"/>
      <c r="H491" s="10"/>
    </row>
    <row r="492">
      <c r="E492" s="10"/>
      <c r="F492" s="10"/>
      <c r="G492" s="10"/>
      <c r="H492" s="10"/>
    </row>
    <row r="493">
      <c r="E493" s="10"/>
      <c r="F493" s="10"/>
      <c r="G493" s="10"/>
      <c r="H493" s="10"/>
    </row>
    <row r="494">
      <c r="E494" s="10"/>
      <c r="F494" s="10"/>
      <c r="G494" s="10"/>
      <c r="H494" s="10"/>
    </row>
    <row r="495">
      <c r="E495" s="10"/>
      <c r="F495" s="10"/>
      <c r="G495" s="10"/>
      <c r="H495" s="10"/>
    </row>
    <row r="496">
      <c r="E496" s="10"/>
      <c r="F496" s="10"/>
      <c r="G496" s="10"/>
      <c r="H496" s="10"/>
    </row>
    <row r="497">
      <c r="E497" s="10"/>
      <c r="F497" s="10"/>
      <c r="G497" s="10"/>
      <c r="H497" s="10"/>
    </row>
    <row r="498">
      <c r="E498" s="10"/>
      <c r="F498" s="10"/>
      <c r="G498" s="10"/>
      <c r="H498" s="10"/>
    </row>
    <row r="499">
      <c r="E499" s="10"/>
      <c r="F499" s="10"/>
      <c r="G499" s="10"/>
      <c r="H499" s="10"/>
    </row>
    <row r="500">
      <c r="E500" s="10"/>
      <c r="F500" s="10"/>
      <c r="G500" s="10"/>
      <c r="H500" s="10"/>
    </row>
    <row r="501">
      <c r="E501" s="10"/>
      <c r="F501" s="10"/>
      <c r="G501" s="10"/>
      <c r="H501" s="10"/>
    </row>
    <row r="502">
      <c r="E502" s="10"/>
      <c r="F502" s="10"/>
      <c r="G502" s="10"/>
      <c r="H502" s="10"/>
    </row>
    <row r="503">
      <c r="E503" s="10"/>
      <c r="F503" s="10"/>
      <c r="G503" s="10"/>
      <c r="H503" s="10"/>
    </row>
    <row r="504">
      <c r="E504" s="10"/>
      <c r="F504" s="10"/>
      <c r="G504" s="10"/>
      <c r="H504" s="10"/>
    </row>
    <row r="505">
      <c r="E505" s="10"/>
      <c r="F505" s="10"/>
      <c r="G505" s="10"/>
      <c r="H505" s="10"/>
    </row>
    <row r="506">
      <c r="E506" s="10"/>
      <c r="F506" s="10"/>
      <c r="G506" s="10"/>
      <c r="H506" s="10"/>
    </row>
    <row r="507">
      <c r="E507" s="10"/>
      <c r="F507" s="10"/>
      <c r="G507" s="10"/>
      <c r="H507" s="10"/>
    </row>
    <row r="508">
      <c r="E508" s="10"/>
      <c r="F508" s="10"/>
      <c r="G508" s="10"/>
      <c r="H508" s="10"/>
    </row>
    <row r="509">
      <c r="E509" s="10"/>
      <c r="F509" s="10"/>
      <c r="G509" s="10"/>
      <c r="H509" s="10"/>
    </row>
    <row r="510">
      <c r="E510" s="10"/>
      <c r="F510" s="10"/>
      <c r="G510" s="10"/>
      <c r="H510" s="10"/>
    </row>
    <row r="511">
      <c r="E511" s="10"/>
      <c r="F511" s="10"/>
      <c r="G511" s="10"/>
      <c r="H511" s="10"/>
    </row>
    <row r="512">
      <c r="E512" s="10"/>
      <c r="F512" s="10"/>
      <c r="G512" s="10"/>
      <c r="H512" s="10"/>
    </row>
    <row r="513">
      <c r="E513" s="10"/>
      <c r="F513" s="10"/>
      <c r="G513" s="10"/>
      <c r="H513" s="10"/>
    </row>
    <row r="514">
      <c r="E514" s="10"/>
      <c r="F514" s="10"/>
      <c r="G514" s="10"/>
      <c r="H514" s="10"/>
    </row>
    <row r="515">
      <c r="E515" s="10"/>
      <c r="F515" s="10"/>
      <c r="G515" s="10"/>
      <c r="H515" s="10"/>
    </row>
    <row r="516">
      <c r="E516" s="10"/>
      <c r="F516" s="10"/>
      <c r="G516" s="10"/>
      <c r="H516" s="10"/>
    </row>
    <row r="517">
      <c r="E517" s="10"/>
      <c r="F517" s="10"/>
      <c r="G517" s="10"/>
      <c r="H517" s="10"/>
    </row>
    <row r="518">
      <c r="E518" s="10"/>
      <c r="F518" s="10"/>
      <c r="G518" s="10"/>
      <c r="H518" s="10"/>
    </row>
    <row r="519">
      <c r="E519" s="10"/>
      <c r="F519" s="10"/>
      <c r="G519" s="10"/>
      <c r="H519" s="10"/>
    </row>
    <row r="520">
      <c r="E520" s="10"/>
      <c r="F520" s="10"/>
      <c r="G520" s="10"/>
      <c r="H520" s="10"/>
    </row>
    <row r="521">
      <c r="E521" s="10"/>
      <c r="F521" s="10"/>
      <c r="G521" s="10"/>
      <c r="H521" s="10"/>
    </row>
    <row r="522">
      <c r="E522" s="10"/>
      <c r="F522" s="10"/>
      <c r="G522" s="10"/>
      <c r="H522" s="10"/>
    </row>
    <row r="523">
      <c r="E523" s="10"/>
      <c r="F523" s="10"/>
      <c r="G523" s="10"/>
      <c r="H523" s="10"/>
    </row>
    <row r="524">
      <c r="E524" s="10"/>
      <c r="F524" s="10"/>
      <c r="G524" s="10"/>
      <c r="H524" s="10"/>
    </row>
    <row r="525">
      <c r="E525" s="10"/>
      <c r="F525" s="10"/>
      <c r="G525" s="10"/>
      <c r="H525" s="10"/>
    </row>
    <row r="526">
      <c r="E526" s="10"/>
      <c r="F526" s="10"/>
      <c r="G526" s="10"/>
      <c r="H526" s="10"/>
    </row>
    <row r="527">
      <c r="E527" s="10"/>
      <c r="F527" s="10"/>
      <c r="G527" s="10"/>
      <c r="H527" s="10"/>
    </row>
    <row r="528">
      <c r="E528" s="10"/>
      <c r="F528" s="10"/>
      <c r="G528" s="10"/>
      <c r="H528" s="10"/>
    </row>
    <row r="529">
      <c r="E529" s="10"/>
      <c r="F529" s="10"/>
      <c r="G529" s="10"/>
      <c r="H529" s="10"/>
    </row>
    <row r="530">
      <c r="E530" s="10"/>
      <c r="F530" s="10"/>
      <c r="G530" s="10"/>
      <c r="H530" s="10"/>
    </row>
    <row r="531">
      <c r="E531" s="10"/>
      <c r="F531" s="10"/>
      <c r="G531" s="10"/>
      <c r="H531" s="10"/>
    </row>
    <row r="532">
      <c r="E532" s="10"/>
      <c r="F532" s="10"/>
      <c r="G532" s="10"/>
      <c r="H532" s="10"/>
    </row>
    <row r="533">
      <c r="E533" s="10"/>
      <c r="F533" s="10"/>
      <c r="G533" s="10"/>
      <c r="H533" s="10"/>
    </row>
    <row r="534">
      <c r="E534" s="10"/>
      <c r="F534" s="10"/>
      <c r="G534" s="10"/>
      <c r="H534" s="10"/>
    </row>
    <row r="535">
      <c r="E535" s="10"/>
      <c r="F535" s="10"/>
      <c r="G535" s="10"/>
      <c r="H535" s="10"/>
    </row>
    <row r="536">
      <c r="E536" s="10"/>
      <c r="F536" s="10"/>
      <c r="G536" s="10"/>
      <c r="H536" s="10"/>
    </row>
    <row r="537">
      <c r="E537" s="10"/>
      <c r="F537" s="10"/>
      <c r="G537" s="10"/>
      <c r="H537" s="10"/>
    </row>
    <row r="538">
      <c r="E538" s="10"/>
      <c r="F538" s="10"/>
      <c r="G538" s="10"/>
      <c r="H538" s="10"/>
    </row>
    <row r="539">
      <c r="E539" s="10"/>
      <c r="F539" s="10"/>
      <c r="G539" s="10"/>
      <c r="H539" s="10"/>
    </row>
    <row r="540">
      <c r="E540" s="10"/>
      <c r="F540" s="10"/>
      <c r="G540" s="10"/>
      <c r="H540" s="10"/>
    </row>
    <row r="541">
      <c r="E541" s="10"/>
      <c r="F541" s="10"/>
      <c r="G541" s="10"/>
      <c r="H541" s="10"/>
    </row>
    <row r="542">
      <c r="E542" s="10"/>
      <c r="F542" s="10"/>
      <c r="G542" s="10"/>
      <c r="H542" s="10"/>
    </row>
    <row r="543">
      <c r="E543" s="10"/>
      <c r="F543" s="10"/>
      <c r="G543" s="10"/>
      <c r="H543" s="10"/>
    </row>
    <row r="544">
      <c r="E544" s="10"/>
      <c r="F544" s="10"/>
      <c r="G544" s="10"/>
      <c r="H544" s="10"/>
    </row>
    <row r="545">
      <c r="E545" s="10"/>
      <c r="F545" s="10"/>
      <c r="G545" s="10"/>
      <c r="H545" s="10"/>
    </row>
    <row r="546">
      <c r="E546" s="10"/>
      <c r="F546" s="10"/>
      <c r="G546" s="10"/>
      <c r="H546" s="10"/>
    </row>
    <row r="547">
      <c r="E547" s="10"/>
      <c r="F547" s="10"/>
      <c r="G547" s="10"/>
      <c r="H547" s="10"/>
    </row>
    <row r="548">
      <c r="E548" s="10"/>
      <c r="F548" s="10"/>
      <c r="G548" s="10"/>
      <c r="H548" s="10"/>
    </row>
    <row r="549">
      <c r="E549" s="10"/>
      <c r="F549" s="10"/>
      <c r="G549" s="10"/>
      <c r="H549" s="10"/>
    </row>
    <row r="550">
      <c r="E550" s="10"/>
      <c r="F550" s="10"/>
      <c r="G550" s="10"/>
      <c r="H550" s="10"/>
    </row>
    <row r="551">
      <c r="E551" s="10"/>
      <c r="F551" s="10"/>
      <c r="G551" s="10"/>
      <c r="H551" s="10"/>
    </row>
    <row r="552">
      <c r="E552" s="10"/>
      <c r="F552" s="10"/>
      <c r="G552" s="10"/>
      <c r="H552" s="10"/>
    </row>
    <row r="553">
      <c r="E553" s="10"/>
      <c r="F553" s="10"/>
      <c r="G553" s="10"/>
      <c r="H553" s="10"/>
    </row>
    <row r="554">
      <c r="E554" s="10"/>
      <c r="F554" s="10"/>
      <c r="G554" s="10"/>
      <c r="H554" s="10"/>
    </row>
    <row r="555">
      <c r="E555" s="10"/>
      <c r="F555" s="10"/>
      <c r="G555" s="10"/>
      <c r="H555" s="10"/>
    </row>
    <row r="556">
      <c r="E556" s="10"/>
      <c r="F556" s="10"/>
      <c r="G556" s="10"/>
      <c r="H556" s="10"/>
    </row>
    <row r="557">
      <c r="E557" s="10"/>
      <c r="F557" s="10"/>
      <c r="G557" s="10"/>
      <c r="H557" s="10"/>
    </row>
    <row r="558">
      <c r="E558" s="10"/>
      <c r="F558" s="10"/>
      <c r="G558" s="10"/>
      <c r="H558" s="10"/>
    </row>
    <row r="559">
      <c r="E559" s="10"/>
      <c r="F559" s="10"/>
      <c r="G559" s="10"/>
      <c r="H559" s="10"/>
    </row>
    <row r="560">
      <c r="E560" s="10"/>
      <c r="F560" s="10"/>
      <c r="G560" s="10"/>
      <c r="H560" s="10"/>
    </row>
    <row r="561">
      <c r="E561" s="10"/>
      <c r="F561" s="10"/>
      <c r="G561" s="10"/>
      <c r="H561" s="10"/>
    </row>
    <row r="562">
      <c r="E562" s="10"/>
      <c r="F562" s="10"/>
      <c r="G562" s="10"/>
      <c r="H562" s="10"/>
    </row>
    <row r="563">
      <c r="E563" s="10"/>
      <c r="F563" s="10"/>
      <c r="G563" s="10"/>
      <c r="H563" s="10"/>
    </row>
    <row r="564">
      <c r="E564" s="10"/>
      <c r="F564" s="10"/>
      <c r="G564" s="10"/>
      <c r="H564" s="10"/>
    </row>
    <row r="565">
      <c r="E565" s="10"/>
      <c r="F565" s="10"/>
      <c r="G565" s="10"/>
      <c r="H565" s="10"/>
    </row>
    <row r="566">
      <c r="E566" s="10"/>
      <c r="F566" s="10"/>
      <c r="G566" s="10"/>
      <c r="H566" s="10"/>
    </row>
    <row r="567">
      <c r="E567" s="10"/>
      <c r="F567" s="10"/>
      <c r="G567" s="10"/>
      <c r="H567" s="10"/>
    </row>
    <row r="568">
      <c r="E568" s="10"/>
      <c r="F568" s="10"/>
      <c r="G568" s="10"/>
      <c r="H568" s="10"/>
    </row>
    <row r="569">
      <c r="E569" s="10"/>
      <c r="F569" s="10"/>
      <c r="G569" s="10"/>
      <c r="H569" s="10"/>
    </row>
    <row r="570">
      <c r="E570" s="10"/>
      <c r="F570" s="10"/>
      <c r="G570" s="10"/>
      <c r="H570" s="10"/>
    </row>
    <row r="571">
      <c r="E571" s="10"/>
      <c r="F571" s="10"/>
      <c r="G571" s="10"/>
      <c r="H571" s="10"/>
    </row>
    <row r="572">
      <c r="E572" s="10"/>
      <c r="F572" s="10"/>
      <c r="G572" s="10"/>
      <c r="H572" s="10"/>
    </row>
    <row r="573">
      <c r="E573" s="10"/>
      <c r="F573" s="10"/>
      <c r="G573" s="10"/>
      <c r="H573" s="10"/>
    </row>
    <row r="574">
      <c r="E574" s="10"/>
      <c r="F574" s="10"/>
      <c r="G574" s="10"/>
      <c r="H574" s="10"/>
    </row>
    <row r="575">
      <c r="E575" s="10"/>
      <c r="F575" s="10"/>
      <c r="G575" s="10"/>
      <c r="H575" s="10"/>
    </row>
    <row r="576">
      <c r="E576" s="10"/>
      <c r="F576" s="10"/>
      <c r="G576" s="10"/>
      <c r="H576" s="10"/>
    </row>
    <row r="577">
      <c r="E577" s="10"/>
      <c r="F577" s="10"/>
      <c r="G577" s="10"/>
      <c r="H577" s="10"/>
    </row>
    <row r="578">
      <c r="E578" s="10"/>
      <c r="F578" s="10"/>
      <c r="G578" s="10"/>
      <c r="H578" s="10"/>
    </row>
    <row r="579">
      <c r="E579" s="10"/>
      <c r="F579" s="10"/>
      <c r="G579" s="10"/>
      <c r="H579" s="10"/>
    </row>
    <row r="580">
      <c r="E580" s="10"/>
      <c r="F580" s="10"/>
      <c r="G580" s="10"/>
      <c r="H580" s="10"/>
    </row>
    <row r="581">
      <c r="E581" s="10"/>
      <c r="F581" s="10"/>
      <c r="G581" s="10"/>
      <c r="H581" s="10"/>
    </row>
    <row r="582">
      <c r="E582" s="10"/>
      <c r="F582" s="10"/>
      <c r="G582" s="10"/>
      <c r="H582" s="10"/>
    </row>
    <row r="583">
      <c r="E583" s="10"/>
      <c r="F583" s="10"/>
      <c r="G583" s="10"/>
      <c r="H583" s="10"/>
    </row>
    <row r="584">
      <c r="E584" s="10"/>
      <c r="F584" s="10"/>
      <c r="G584" s="10"/>
      <c r="H584" s="10"/>
    </row>
    <row r="585">
      <c r="E585" s="10"/>
      <c r="F585" s="10"/>
      <c r="G585" s="10"/>
      <c r="H585" s="10"/>
    </row>
    <row r="586">
      <c r="E586" s="10"/>
      <c r="F586" s="10"/>
      <c r="G586" s="10"/>
      <c r="H586" s="10"/>
    </row>
    <row r="587">
      <c r="E587" s="10"/>
      <c r="F587" s="10"/>
      <c r="G587" s="10"/>
      <c r="H587" s="10"/>
    </row>
    <row r="588">
      <c r="E588" s="10"/>
      <c r="F588" s="10"/>
      <c r="G588" s="10"/>
      <c r="H588" s="10"/>
    </row>
    <row r="589">
      <c r="E589" s="10"/>
      <c r="F589" s="10"/>
      <c r="G589" s="10"/>
      <c r="H589" s="10"/>
    </row>
    <row r="590">
      <c r="E590" s="10"/>
      <c r="F590" s="10"/>
      <c r="G590" s="10"/>
      <c r="H590" s="10"/>
    </row>
    <row r="591">
      <c r="E591" s="10"/>
      <c r="F591" s="10"/>
      <c r="G591" s="10"/>
      <c r="H591" s="10"/>
    </row>
    <row r="592">
      <c r="E592" s="10"/>
      <c r="F592" s="10"/>
      <c r="G592" s="10"/>
      <c r="H592" s="10"/>
    </row>
    <row r="593">
      <c r="E593" s="10"/>
      <c r="F593" s="10"/>
      <c r="G593" s="10"/>
      <c r="H593" s="10"/>
    </row>
    <row r="594">
      <c r="E594" s="10"/>
      <c r="F594" s="10"/>
      <c r="G594" s="10"/>
      <c r="H594" s="10"/>
    </row>
    <row r="595">
      <c r="E595" s="10"/>
      <c r="F595" s="10"/>
      <c r="G595" s="10"/>
      <c r="H595" s="10"/>
    </row>
    <row r="596">
      <c r="E596" s="10"/>
      <c r="F596" s="10"/>
      <c r="G596" s="10"/>
      <c r="H596" s="10"/>
    </row>
    <row r="597">
      <c r="E597" s="10"/>
      <c r="F597" s="10"/>
      <c r="G597" s="10"/>
      <c r="H597" s="10"/>
    </row>
    <row r="598">
      <c r="E598" s="10"/>
      <c r="F598" s="10"/>
      <c r="G598" s="10"/>
      <c r="H598" s="10"/>
    </row>
    <row r="599">
      <c r="E599" s="10"/>
      <c r="F599" s="10"/>
      <c r="G599" s="10"/>
      <c r="H599" s="10"/>
    </row>
    <row r="600">
      <c r="E600" s="10"/>
      <c r="F600" s="10"/>
      <c r="G600" s="10"/>
      <c r="H600" s="10"/>
    </row>
    <row r="601">
      <c r="E601" s="10"/>
      <c r="F601" s="10"/>
      <c r="G601" s="10"/>
      <c r="H601" s="10"/>
    </row>
    <row r="602">
      <c r="E602" s="10"/>
      <c r="F602" s="10"/>
      <c r="G602" s="10"/>
      <c r="H602" s="10"/>
    </row>
    <row r="603">
      <c r="E603" s="10"/>
      <c r="F603" s="10"/>
      <c r="G603" s="10"/>
      <c r="H603" s="10"/>
    </row>
    <row r="604">
      <c r="E604" s="10"/>
      <c r="F604" s="10"/>
      <c r="G604" s="10"/>
      <c r="H604" s="10"/>
    </row>
    <row r="605">
      <c r="E605" s="10"/>
      <c r="F605" s="10"/>
      <c r="G605" s="10"/>
      <c r="H605" s="10"/>
    </row>
    <row r="606">
      <c r="E606" s="10"/>
      <c r="F606" s="10"/>
      <c r="G606" s="10"/>
      <c r="H606" s="10"/>
    </row>
    <row r="607">
      <c r="E607" s="10"/>
      <c r="F607" s="10"/>
      <c r="G607" s="10"/>
      <c r="H607" s="10"/>
    </row>
    <row r="608">
      <c r="E608" s="10"/>
      <c r="F608" s="10"/>
      <c r="G608" s="10"/>
      <c r="H608" s="10"/>
    </row>
    <row r="609">
      <c r="E609" s="10"/>
      <c r="F609" s="10"/>
      <c r="G609" s="10"/>
      <c r="H609" s="10"/>
    </row>
    <row r="610">
      <c r="E610" s="10"/>
      <c r="F610" s="10"/>
      <c r="G610" s="10"/>
      <c r="H610" s="10"/>
    </row>
    <row r="611">
      <c r="E611" s="10"/>
      <c r="F611" s="10"/>
      <c r="G611" s="10"/>
      <c r="H611" s="10"/>
    </row>
    <row r="612">
      <c r="E612" s="10"/>
      <c r="F612" s="10"/>
      <c r="G612" s="10"/>
      <c r="H612" s="10"/>
    </row>
    <row r="613">
      <c r="E613" s="10"/>
      <c r="F613" s="10"/>
      <c r="G613" s="10"/>
      <c r="H613" s="10"/>
    </row>
    <row r="614">
      <c r="E614" s="10"/>
      <c r="F614" s="10"/>
      <c r="G614" s="10"/>
      <c r="H614" s="10"/>
    </row>
    <row r="615">
      <c r="E615" s="10"/>
      <c r="F615" s="10"/>
      <c r="G615" s="10"/>
      <c r="H615" s="10"/>
    </row>
    <row r="616">
      <c r="E616" s="10"/>
      <c r="F616" s="10"/>
      <c r="G616" s="10"/>
      <c r="H616" s="10"/>
    </row>
    <row r="617">
      <c r="E617" s="10"/>
      <c r="F617" s="10"/>
      <c r="G617" s="10"/>
      <c r="H617" s="10"/>
    </row>
    <row r="618">
      <c r="E618" s="10"/>
      <c r="F618" s="10"/>
      <c r="G618" s="10"/>
      <c r="H618" s="10"/>
    </row>
    <row r="619">
      <c r="E619" s="10"/>
      <c r="F619" s="10"/>
      <c r="G619" s="10"/>
      <c r="H619" s="10"/>
    </row>
    <row r="620">
      <c r="E620" s="10"/>
      <c r="F620" s="10"/>
      <c r="G620" s="10"/>
      <c r="H620" s="10"/>
    </row>
    <row r="621">
      <c r="E621" s="10"/>
      <c r="F621" s="10"/>
      <c r="G621" s="10"/>
      <c r="H621" s="10"/>
    </row>
    <row r="622">
      <c r="E622" s="10"/>
      <c r="F622" s="10"/>
      <c r="G622" s="10"/>
      <c r="H622" s="10"/>
    </row>
    <row r="623">
      <c r="E623" s="10"/>
      <c r="F623" s="10"/>
      <c r="G623" s="10"/>
      <c r="H623" s="10"/>
    </row>
    <row r="624">
      <c r="E624" s="10"/>
      <c r="F624" s="10"/>
      <c r="G624" s="10"/>
      <c r="H624" s="10"/>
    </row>
    <row r="625">
      <c r="E625" s="10"/>
      <c r="F625" s="10"/>
      <c r="G625" s="10"/>
      <c r="H625" s="10"/>
    </row>
    <row r="626">
      <c r="E626" s="10"/>
      <c r="F626" s="10"/>
      <c r="G626" s="10"/>
      <c r="H626" s="10"/>
    </row>
    <row r="627">
      <c r="E627" s="10"/>
      <c r="F627" s="10"/>
      <c r="G627" s="10"/>
      <c r="H627" s="10"/>
    </row>
    <row r="628">
      <c r="E628" s="10"/>
      <c r="F628" s="10"/>
      <c r="G628" s="10"/>
      <c r="H628" s="10"/>
    </row>
    <row r="629">
      <c r="E629" s="10"/>
      <c r="F629" s="10"/>
      <c r="G629" s="10"/>
      <c r="H629" s="10"/>
    </row>
    <row r="630">
      <c r="E630" s="10"/>
      <c r="F630" s="10"/>
      <c r="G630" s="10"/>
      <c r="H630" s="10"/>
    </row>
    <row r="631">
      <c r="E631" s="10"/>
      <c r="F631" s="10"/>
      <c r="G631" s="10"/>
      <c r="H631" s="10"/>
    </row>
    <row r="632">
      <c r="E632" s="10"/>
      <c r="F632" s="10"/>
      <c r="G632" s="10"/>
      <c r="H632" s="10"/>
    </row>
    <row r="633">
      <c r="E633" s="10"/>
      <c r="F633" s="10"/>
      <c r="G633" s="10"/>
      <c r="H633" s="10"/>
    </row>
    <row r="634">
      <c r="E634" s="10"/>
      <c r="F634" s="10"/>
      <c r="G634" s="10"/>
      <c r="H634" s="10"/>
    </row>
    <row r="635">
      <c r="E635" s="10"/>
      <c r="F635" s="10"/>
      <c r="G635" s="10"/>
      <c r="H635" s="10"/>
    </row>
    <row r="636">
      <c r="E636" s="10"/>
      <c r="F636" s="10"/>
      <c r="G636" s="10"/>
      <c r="H636" s="10"/>
    </row>
    <row r="637">
      <c r="E637" s="10"/>
      <c r="F637" s="10"/>
      <c r="G637" s="10"/>
      <c r="H637" s="10"/>
    </row>
    <row r="638">
      <c r="E638" s="10"/>
      <c r="F638" s="10"/>
      <c r="G638" s="10"/>
      <c r="H638" s="10"/>
    </row>
    <row r="639">
      <c r="E639" s="10"/>
      <c r="F639" s="10"/>
      <c r="G639" s="10"/>
      <c r="H639" s="10"/>
    </row>
    <row r="640">
      <c r="E640" s="10"/>
      <c r="F640" s="10"/>
      <c r="G640" s="10"/>
      <c r="H640" s="10"/>
    </row>
    <row r="641">
      <c r="E641" s="10"/>
      <c r="F641" s="10"/>
      <c r="G641" s="10"/>
      <c r="H641" s="10"/>
    </row>
    <row r="642">
      <c r="E642" s="10"/>
      <c r="F642" s="10"/>
      <c r="G642" s="10"/>
      <c r="H642" s="10"/>
    </row>
    <row r="643">
      <c r="E643" s="10"/>
      <c r="F643" s="10"/>
      <c r="G643" s="10"/>
      <c r="H643" s="10"/>
    </row>
    <row r="644">
      <c r="E644" s="10"/>
      <c r="F644" s="10"/>
      <c r="G644" s="10"/>
      <c r="H644" s="10"/>
    </row>
    <row r="645">
      <c r="E645" s="10"/>
      <c r="F645" s="10"/>
      <c r="G645" s="10"/>
      <c r="H645" s="10"/>
    </row>
    <row r="646">
      <c r="E646" s="10"/>
      <c r="F646" s="10"/>
      <c r="G646" s="10"/>
      <c r="H646" s="10"/>
    </row>
    <row r="647">
      <c r="E647" s="10"/>
      <c r="F647" s="10"/>
      <c r="G647" s="10"/>
      <c r="H647" s="10"/>
    </row>
    <row r="648">
      <c r="E648" s="10"/>
      <c r="F648" s="10"/>
      <c r="G648" s="10"/>
      <c r="H648" s="10"/>
    </row>
    <row r="649">
      <c r="E649" s="10"/>
      <c r="F649" s="10"/>
      <c r="G649" s="10"/>
      <c r="H649" s="10"/>
    </row>
    <row r="650">
      <c r="E650" s="10"/>
      <c r="F650" s="10"/>
      <c r="G650" s="10"/>
      <c r="H650" s="10"/>
    </row>
    <row r="651">
      <c r="E651" s="10"/>
      <c r="F651" s="10"/>
      <c r="G651" s="10"/>
      <c r="H651" s="10"/>
    </row>
    <row r="652">
      <c r="E652" s="10"/>
      <c r="F652" s="10"/>
      <c r="G652" s="10"/>
      <c r="H652" s="10"/>
    </row>
    <row r="653">
      <c r="E653" s="10"/>
      <c r="F653" s="10"/>
      <c r="G653" s="10"/>
      <c r="H653" s="10"/>
    </row>
    <row r="654">
      <c r="E654" s="10"/>
      <c r="F654" s="10"/>
      <c r="G654" s="10"/>
      <c r="H654" s="10"/>
    </row>
    <row r="655">
      <c r="E655" s="10"/>
      <c r="F655" s="10"/>
      <c r="G655" s="10"/>
      <c r="H655" s="10"/>
    </row>
    <row r="656">
      <c r="E656" s="10"/>
      <c r="F656" s="10"/>
      <c r="G656" s="10"/>
      <c r="H656" s="10"/>
    </row>
    <row r="657">
      <c r="E657" s="10"/>
      <c r="F657" s="10"/>
      <c r="G657" s="10"/>
      <c r="H657" s="10"/>
    </row>
    <row r="658">
      <c r="E658" s="10"/>
      <c r="F658" s="10"/>
      <c r="G658" s="10"/>
      <c r="H658" s="10"/>
    </row>
    <row r="659">
      <c r="E659" s="10"/>
      <c r="F659" s="10"/>
      <c r="G659" s="10"/>
      <c r="H659" s="10"/>
    </row>
    <row r="660">
      <c r="E660" s="10"/>
      <c r="F660" s="10"/>
      <c r="G660" s="10"/>
      <c r="H660" s="10"/>
    </row>
    <row r="661">
      <c r="E661" s="10"/>
      <c r="F661" s="10"/>
      <c r="G661" s="10"/>
      <c r="H661" s="10"/>
    </row>
    <row r="662">
      <c r="E662" s="10"/>
      <c r="F662" s="10"/>
      <c r="G662" s="10"/>
      <c r="H662" s="10"/>
    </row>
    <row r="663">
      <c r="E663" s="10"/>
      <c r="F663" s="10"/>
      <c r="G663" s="10"/>
      <c r="H663" s="10"/>
    </row>
    <row r="664">
      <c r="E664" s="10"/>
      <c r="F664" s="10"/>
      <c r="G664" s="10"/>
      <c r="H664" s="10"/>
    </row>
    <row r="665">
      <c r="E665" s="10"/>
      <c r="F665" s="10"/>
      <c r="G665" s="10"/>
      <c r="H665" s="10"/>
    </row>
    <row r="666">
      <c r="E666" s="10"/>
      <c r="F666" s="10"/>
      <c r="G666" s="10"/>
      <c r="H666" s="10"/>
    </row>
    <row r="667">
      <c r="E667" s="10"/>
      <c r="F667" s="10"/>
      <c r="G667" s="10"/>
      <c r="H667" s="10"/>
    </row>
    <row r="668">
      <c r="E668" s="10"/>
      <c r="F668" s="10"/>
      <c r="G668" s="10"/>
      <c r="H668" s="10"/>
    </row>
    <row r="669">
      <c r="E669" s="10"/>
      <c r="F669" s="10"/>
      <c r="G669" s="10"/>
      <c r="H669" s="10"/>
    </row>
    <row r="670">
      <c r="E670" s="10"/>
      <c r="F670" s="10"/>
      <c r="G670" s="10"/>
      <c r="H670" s="10"/>
    </row>
    <row r="671">
      <c r="E671" s="10"/>
      <c r="F671" s="10"/>
      <c r="G671" s="10"/>
      <c r="H671" s="10"/>
    </row>
    <row r="672">
      <c r="E672" s="10"/>
      <c r="F672" s="10"/>
      <c r="G672" s="10"/>
      <c r="H672" s="10"/>
    </row>
    <row r="673">
      <c r="E673" s="10"/>
      <c r="F673" s="10"/>
      <c r="G673" s="10"/>
      <c r="H673" s="10"/>
    </row>
    <row r="674">
      <c r="E674" s="10"/>
      <c r="F674" s="10"/>
      <c r="G674" s="10"/>
      <c r="H674" s="10"/>
    </row>
    <row r="675">
      <c r="E675" s="10"/>
      <c r="F675" s="10"/>
      <c r="G675" s="10"/>
      <c r="H675" s="10"/>
    </row>
    <row r="676">
      <c r="E676" s="10"/>
      <c r="F676" s="10"/>
      <c r="G676" s="10"/>
      <c r="H676" s="10"/>
    </row>
    <row r="677">
      <c r="E677" s="10"/>
      <c r="F677" s="10"/>
      <c r="G677" s="10"/>
      <c r="H677" s="10"/>
    </row>
    <row r="678">
      <c r="E678" s="10"/>
      <c r="F678" s="10"/>
      <c r="G678" s="10"/>
      <c r="H678" s="10"/>
    </row>
    <row r="679">
      <c r="E679" s="10"/>
      <c r="F679" s="10"/>
      <c r="G679" s="10"/>
      <c r="H679" s="10"/>
    </row>
    <row r="680">
      <c r="E680" s="10"/>
      <c r="F680" s="10"/>
      <c r="G680" s="10"/>
      <c r="H680" s="10"/>
    </row>
    <row r="681">
      <c r="E681" s="10"/>
      <c r="F681" s="10"/>
      <c r="G681" s="10"/>
      <c r="H681" s="10"/>
    </row>
    <row r="682">
      <c r="E682" s="10"/>
      <c r="F682" s="10"/>
      <c r="G682" s="10"/>
      <c r="H682" s="10"/>
    </row>
    <row r="683">
      <c r="E683" s="10"/>
      <c r="F683" s="10"/>
      <c r="G683" s="10"/>
      <c r="H683" s="10"/>
    </row>
    <row r="684">
      <c r="E684" s="10"/>
      <c r="F684" s="10"/>
      <c r="G684" s="10"/>
      <c r="H684" s="10"/>
    </row>
    <row r="685">
      <c r="E685" s="10"/>
      <c r="F685" s="10"/>
      <c r="G685" s="10"/>
      <c r="H685" s="10"/>
    </row>
    <row r="686">
      <c r="E686" s="10"/>
      <c r="F686" s="10"/>
      <c r="G686" s="10"/>
      <c r="H686" s="10"/>
    </row>
    <row r="687">
      <c r="E687" s="10"/>
      <c r="F687" s="10"/>
      <c r="G687" s="10"/>
      <c r="H687" s="10"/>
    </row>
    <row r="688">
      <c r="E688" s="10"/>
      <c r="F688" s="10"/>
      <c r="G688" s="10"/>
      <c r="H688" s="10"/>
    </row>
    <row r="689">
      <c r="E689" s="10"/>
      <c r="F689" s="10"/>
      <c r="G689" s="10"/>
      <c r="H689" s="10"/>
    </row>
    <row r="690">
      <c r="E690" s="10"/>
      <c r="F690" s="10"/>
      <c r="G690" s="10"/>
      <c r="H690" s="10"/>
    </row>
    <row r="691">
      <c r="E691" s="10"/>
      <c r="F691" s="10"/>
      <c r="G691" s="10"/>
      <c r="H691" s="10"/>
    </row>
    <row r="692">
      <c r="E692" s="10"/>
      <c r="F692" s="10"/>
      <c r="G692" s="10"/>
      <c r="H692" s="10"/>
    </row>
    <row r="693">
      <c r="E693" s="10"/>
      <c r="F693" s="10"/>
      <c r="G693" s="10"/>
      <c r="H693" s="10"/>
    </row>
    <row r="694">
      <c r="E694" s="10"/>
      <c r="F694" s="10"/>
      <c r="G694" s="10"/>
      <c r="H694" s="10"/>
    </row>
    <row r="695">
      <c r="E695" s="10"/>
      <c r="F695" s="10"/>
      <c r="G695" s="10"/>
      <c r="H695" s="10"/>
    </row>
    <row r="696">
      <c r="E696" s="10"/>
      <c r="F696" s="10"/>
      <c r="G696" s="10"/>
      <c r="H696" s="10"/>
    </row>
    <row r="697">
      <c r="E697" s="10"/>
      <c r="F697" s="10"/>
      <c r="G697" s="10"/>
      <c r="H697" s="10"/>
    </row>
    <row r="698">
      <c r="E698" s="10"/>
      <c r="F698" s="10"/>
      <c r="G698" s="10"/>
      <c r="H698" s="10"/>
    </row>
    <row r="699">
      <c r="E699" s="10"/>
      <c r="F699" s="10"/>
      <c r="G699" s="10"/>
      <c r="H699" s="10"/>
    </row>
    <row r="700">
      <c r="E700" s="10"/>
      <c r="F700" s="10"/>
      <c r="G700" s="10"/>
      <c r="H700" s="10"/>
    </row>
    <row r="701">
      <c r="E701" s="10"/>
      <c r="F701" s="10"/>
      <c r="G701" s="10"/>
      <c r="H701" s="10"/>
    </row>
    <row r="702">
      <c r="E702" s="10"/>
      <c r="F702" s="10"/>
      <c r="G702" s="10"/>
      <c r="H702" s="10"/>
    </row>
    <row r="703">
      <c r="E703" s="10"/>
      <c r="F703" s="10"/>
      <c r="G703" s="10"/>
      <c r="H703" s="10"/>
    </row>
    <row r="704">
      <c r="E704" s="10"/>
      <c r="F704" s="10"/>
      <c r="G704" s="10"/>
      <c r="H704" s="10"/>
    </row>
    <row r="705">
      <c r="E705" s="10"/>
      <c r="F705" s="10"/>
      <c r="G705" s="10"/>
      <c r="H705" s="10"/>
    </row>
    <row r="706">
      <c r="E706" s="10"/>
      <c r="F706" s="10"/>
      <c r="G706" s="10"/>
      <c r="H706" s="10"/>
    </row>
    <row r="707">
      <c r="E707" s="10"/>
      <c r="F707" s="10"/>
      <c r="G707" s="10"/>
      <c r="H707" s="10"/>
    </row>
    <row r="708">
      <c r="E708" s="10"/>
      <c r="F708" s="10"/>
      <c r="G708" s="10"/>
      <c r="H708" s="10"/>
    </row>
    <row r="709">
      <c r="E709" s="10"/>
      <c r="F709" s="10"/>
      <c r="G709" s="10"/>
      <c r="H709" s="10"/>
    </row>
    <row r="710">
      <c r="E710" s="10"/>
      <c r="F710" s="10"/>
      <c r="G710" s="10"/>
      <c r="H710" s="10"/>
    </row>
    <row r="711">
      <c r="E711" s="10"/>
      <c r="F711" s="10"/>
      <c r="G711" s="10"/>
      <c r="H711" s="10"/>
    </row>
    <row r="712">
      <c r="E712" s="10"/>
      <c r="F712" s="10"/>
      <c r="G712" s="10"/>
      <c r="H712" s="10"/>
    </row>
    <row r="713">
      <c r="E713" s="10"/>
      <c r="F713" s="10"/>
      <c r="G713" s="10"/>
      <c r="H713" s="10"/>
    </row>
    <row r="714">
      <c r="E714" s="10"/>
      <c r="F714" s="10"/>
      <c r="G714" s="10"/>
      <c r="H714" s="10"/>
    </row>
    <row r="715">
      <c r="E715" s="10"/>
      <c r="F715" s="10"/>
      <c r="G715" s="10"/>
      <c r="H715" s="10"/>
    </row>
    <row r="716">
      <c r="E716" s="10"/>
      <c r="F716" s="10"/>
      <c r="G716" s="10"/>
      <c r="H716" s="10"/>
    </row>
    <row r="717">
      <c r="E717" s="10"/>
      <c r="F717" s="10"/>
      <c r="G717" s="10"/>
      <c r="H717" s="10"/>
    </row>
    <row r="718">
      <c r="E718" s="10"/>
      <c r="F718" s="10"/>
      <c r="G718" s="10"/>
      <c r="H718" s="10"/>
    </row>
    <row r="719">
      <c r="E719" s="10"/>
      <c r="F719" s="10"/>
      <c r="G719" s="10"/>
      <c r="H719" s="10"/>
    </row>
    <row r="720">
      <c r="E720" s="10"/>
      <c r="F720" s="10"/>
      <c r="G720" s="10"/>
      <c r="H720" s="10"/>
    </row>
    <row r="721">
      <c r="E721" s="10"/>
      <c r="F721" s="10"/>
      <c r="G721" s="10"/>
      <c r="H721" s="10"/>
    </row>
    <row r="722">
      <c r="E722" s="10"/>
      <c r="F722" s="10"/>
      <c r="G722" s="10"/>
      <c r="H722" s="10"/>
    </row>
    <row r="723">
      <c r="E723" s="10"/>
      <c r="F723" s="10"/>
      <c r="G723" s="10"/>
      <c r="H723" s="10"/>
    </row>
    <row r="724">
      <c r="E724" s="10"/>
      <c r="F724" s="10"/>
      <c r="G724" s="10"/>
      <c r="H724" s="10"/>
    </row>
    <row r="725">
      <c r="E725" s="10"/>
      <c r="F725" s="10"/>
      <c r="G725" s="10"/>
      <c r="H725" s="10"/>
    </row>
    <row r="726">
      <c r="E726" s="10"/>
      <c r="F726" s="10"/>
      <c r="G726" s="10"/>
      <c r="H726" s="10"/>
    </row>
    <row r="727">
      <c r="E727" s="10"/>
      <c r="F727" s="10"/>
      <c r="G727" s="10"/>
      <c r="H727" s="10"/>
    </row>
    <row r="728">
      <c r="E728" s="10"/>
      <c r="F728" s="10"/>
      <c r="G728" s="10"/>
      <c r="H728" s="10"/>
    </row>
    <row r="729">
      <c r="E729" s="10"/>
      <c r="F729" s="10"/>
      <c r="G729" s="10"/>
      <c r="H729" s="10"/>
    </row>
    <row r="730">
      <c r="E730" s="10"/>
      <c r="F730" s="10"/>
      <c r="G730" s="10"/>
      <c r="H730" s="10"/>
    </row>
    <row r="731">
      <c r="E731" s="10"/>
      <c r="F731" s="10"/>
      <c r="G731" s="10"/>
      <c r="H731" s="10"/>
    </row>
    <row r="732">
      <c r="E732" s="10"/>
      <c r="F732" s="10"/>
      <c r="G732" s="10"/>
      <c r="H732" s="10"/>
    </row>
    <row r="733">
      <c r="E733" s="10"/>
      <c r="F733" s="10"/>
      <c r="G733" s="10"/>
      <c r="H733" s="10"/>
    </row>
    <row r="734">
      <c r="E734" s="10"/>
      <c r="F734" s="10"/>
      <c r="G734" s="10"/>
      <c r="H734" s="10"/>
    </row>
    <row r="735">
      <c r="E735" s="10"/>
      <c r="F735" s="10"/>
      <c r="G735" s="10"/>
      <c r="H735" s="10"/>
    </row>
    <row r="736">
      <c r="E736" s="10"/>
      <c r="F736" s="10"/>
      <c r="G736" s="10"/>
      <c r="H736" s="10"/>
    </row>
    <row r="737">
      <c r="E737" s="10"/>
      <c r="F737" s="10"/>
      <c r="G737" s="10"/>
      <c r="H737" s="10"/>
    </row>
    <row r="738">
      <c r="E738" s="10"/>
      <c r="F738" s="10"/>
      <c r="G738" s="10"/>
      <c r="H738" s="10"/>
    </row>
    <row r="739">
      <c r="E739" s="10"/>
      <c r="F739" s="10"/>
      <c r="G739" s="10"/>
      <c r="H739" s="10"/>
    </row>
    <row r="740">
      <c r="E740" s="10"/>
      <c r="F740" s="10"/>
      <c r="G740" s="10"/>
      <c r="H740" s="10"/>
    </row>
    <row r="741">
      <c r="E741" s="10"/>
      <c r="F741" s="10"/>
      <c r="G741" s="10"/>
      <c r="H741" s="10"/>
    </row>
    <row r="742">
      <c r="E742" s="10"/>
      <c r="F742" s="10"/>
      <c r="G742" s="10"/>
      <c r="H742" s="10"/>
    </row>
    <row r="743">
      <c r="E743" s="10"/>
      <c r="F743" s="10"/>
      <c r="G743" s="10"/>
      <c r="H743" s="10"/>
    </row>
    <row r="744">
      <c r="E744" s="10"/>
      <c r="F744" s="10"/>
      <c r="G744" s="10"/>
      <c r="H744" s="10"/>
    </row>
    <row r="745">
      <c r="E745" s="10"/>
      <c r="F745" s="10"/>
      <c r="G745" s="10"/>
      <c r="H745" s="10"/>
    </row>
    <row r="746">
      <c r="E746" s="10"/>
      <c r="F746" s="10"/>
      <c r="G746" s="10"/>
      <c r="H746" s="10"/>
    </row>
    <row r="747">
      <c r="E747" s="10"/>
      <c r="F747" s="10"/>
      <c r="G747" s="10"/>
      <c r="H747" s="10"/>
    </row>
    <row r="748">
      <c r="E748" s="10"/>
      <c r="F748" s="10"/>
      <c r="G748" s="10"/>
      <c r="H748" s="10"/>
    </row>
    <row r="749">
      <c r="E749" s="10"/>
      <c r="F749" s="10"/>
      <c r="G749" s="10"/>
      <c r="H749" s="10"/>
    </row>
    <row r="750">
      <c r="E750" s="10"/>
      <c r="F750" s="10"/>
      <c r="G750" s="10"/>
      <c r="H750" s="10"/>
    </row>
    <row r="751">
      <c r="E751" s="10"/>
      <c r="F751" s="10"/>
      <c r="G751" s="10"/>
      <c r="H751" s="10"/>
    </row>
    <row r="752">
      <c r="E752" s="10"/>
      <c r="F752" s="10"/>
      <c r="G752" s="10"/>
      <c r="H752" s="10"/>
    </row>
    <row r="753">
      <c r="E753" s="10"/>
      <c r="F753" s="10"/>
      <c r="G753" s="10"/>
      <c r="H753" s="10"/>
    </row>
    <row r="754">
      <c r="E754" s="10"/>
      <c r="F754" s="10"/>
      <c r="G754" s="10"/>
      <c r="H754" s="10"/>
    </row>
    <row r="755">
      <c r="E755" s="10"/>
      <c r="F755" s="10"/>
      <c r="G755" s="10"/>
      <c r="H755" s="10"/>
    </row>
    <row r="756">
      <c r="E756" s="10"/>
      <c r="F756" s="10"/>
      <c r="G756" s="10"/>
      <c r="H756" s="10"/>
    </row>
    <row r="757">
      <c r="E757" s="10"/>
      <c r="F757" s="10"/>
      <c r="G757" s="10"/>
      <c r="H757" s="10"/>
    </row>
    <row r="758">
      <c r="E758" s="10"/>
      <c r="F758" s="10"/>
      <c r="G758" s="10"/>
      <c r="H758" s="10"/>
    </row>
    <row r="759">
      <c r="E759" s="10"/>
      <c r="F759" s="10"/>
      <c r="G759" s="10"/>
      <c r="H759" s="10"/>
    </row>
    <row r="760">
      <c r="E760" s="10"/>
      <c r="F760" s="10"/>
      <c r="G760" s="10"/>
      <c r="H760" s="10"/>
    </row>
    <row r="761">
      <c r="E761" s="10"/>
      <c r="F761" s="10"/>
      <c r="G761" s="10"/>
      <c r="H761" s="10"/>
    </row>
    <row r="762">
      <c r="E762" s="10"/>
      <c r="F762" s="10"/>
      <c r="G762" s="10"/>
      <c r="H762" s="10"/>
    </row>
    <row r="763">
      <c r="E763" s="10"/>
      <c r="F763" s="10"/>
      <c r="G763" s="10"/>
      <c r="H763" s="10"/>
    </row>
    <row r="764">
      <c r="E764" s="10"/>
      <c r="F764" s="10"/>
      <c r="G764" s="10"/>
      <c r="H764" s="10"/>
    </row>
    <row r="765">
      <c r="E765" s="10"/>
      <c r="F765" s="10"/>
      <c r="G765" s="10"/>
      <c r="H765" s="10"/>
    </row>
    <row r="766">
      <c r="E766" s="10"/>
      <c r="F766" s="10"/>
      <c r="G766" s="10"/>
      <c r="H766" s="10"/>
    </row>
    <row r="767">
      <c r="E767" s="10"/>
      <c r="F767" s="10"/>
      <c r="G767" s="10"/>
      <c r="H767" s="10"/>
    </row>
    <row r="768">
      <c r="E768" s="10"/>
      <c r="F768" s="10"/>
      <c r="G768" s="10"/>
      <c r="H768" s="10"/>
    </row>
    <row r="769">
      <c r="E769" s="10"/>
      <c r="F769" s="10"/>
      <c r="G769" s="10"/>
      <c r="H769" s="10"/>
    </row>
    <row r="770">
      <c r="E770" s="10"/>
      <c r="F770" s="10"/>
      <c r="G770" s="10"/>
      <c r="H770" s="10"/>
    </row>
    <row r="771">
      <c r="E771" s="10"/>
      <c r="F771" s="10"/>
      <c r="G771" s="10"/>
      <c r="H771" s="10"/>
    </row>
    <row r="772">
      <c r="E772" s="10"/>
      <c r="F772" s="10"/>
      <c r="G772" s="10"/>
      <c r="H772" s="10"/>
    </row>
    <row r="773">
      <c r="E773" s="10"/>
      <c r="F773" s="10"/>
      <c r="G773" s="10"/>
      <c r="H773" s="10"/>
    </row>
    <row r="774">
      <c r="E774" s="10"/>
      <c r="F774" s="10"/>
      <c r="G774" s="10"/>
      <c r="H774" s="10"/>
    </row>
    <row r="775">
      <c r="E775" s="10"/>
      <c r="F775" s="10"/>
      <c r="G775" s="10"/>
      <c r="H775" s="10"/>
    </row>
    <row r="776">
      <c r="E776" s="10"/>
      <c r="F776" s="10"/>
      <c r="G776" s="10"/>
      <c r="H776" s="10"/>
    </row>
    <row r="777">
      <c r="E777" s="10"/>
      <c r="F777" s="10"/>
      <c r="G777" s="10"/>
      <c r="H777" s="10"/>
    </row>
    <row r="778">
      <c r="E778" s="10"/>
      <c r="F778" s="10"/>
      <c r="G778" s="10"/>
      <c r="H778" s="10"/>
    </row>
    <row r="779">
      <c r="E779" s="10"/>
      <c r="F779" s="10"/>
      <c r="G779" s="10"/>
      <c r="H779" s="10"/>
    </row>
    <row r="780">
      <c r="E780" s="10"/>
      <c r="F780" s="10"/>
      <c r="G780" s="10"/>
      <c r="H780" s="10"/>
    </row>
    <row r="781">
      <c r="E781" s="10"/>
      <c r="F781" s="10"/>
      <c r="G781" s="10"/>
      <c r="H781" s="10"/>
    </row>
    <row r="782">
      <c r="E782" s="10"/>
      <c r="F782" s="10"/>
      <c r="G782" s="10"/>
      <c r="H782" s="10"/>
    </row>
    <row r="783">
      <c r="E783" s="10"/>
      <c r="F783" s="10"/>
      <c r="G783" s="10"/>
      <c r="H783" s="10"/>
    </row>
    <row r="784">
      <c r="E784" s="10"/>
      <c r="F784" s="10"/>
      <c r="G784" s="10"/>
      <c r="H784" s="10"/>
    </row>
    <row r="785">
      <c r="E785" s="10"/>
      <c r="F785" s="10"/>
      <c r="G785" s="10"/>
      <c r="H785" s="10"/>
    </row>
    <row r="786">
      <c r="E786" s="10"/>
      <c r="F786" s="10"/>
      <c r="G786" s="10"/>
      <c r="H786" s="10"/>
    </row>
    <row r="787">
      <c r="E787" s="10"/>
      <c r="F787" s="10"/>
      <c r="G787" s="10"/>
      <c r="H787" s="10"/>
    </row>
    <row r="788">
      <c r="E788" s="10"/>
      <c r="F788" s="10"/>
      <c r="G788" s="10"/>
      <c r="H788" s="10"/>
    </row>
    <row r="789">
      <c r="E789" s="10"/>
      <c r="F789" s="10"/>
      <c r="G789" s="10"/>
      <c r="H789" s="10"/>
    </row>
    <row r="790">
      <c r="E790" s="10"/>
      <c r="F790" s="10"/>
      <c r="G790" s="10"/>
      <c r="H790" s="10"/>
    </row>
    <row r="791">
      <c r="E791" s="10"/>
      <c r="F791" s="10"/>
      <c r="G791" s="10"/>
      <c r="H791" s="10"/>
    </row>
    <row r="792">
      <c r="E792" s="10"/>
      <c r="F792" s="10"/>
      <c r="G792" s="10"/>
      <c r="H792" s="10"/>
    </row>
    <row r="793">
      <c r="E793" s="10"/>
      <c r="F793" s="10"/>
      <c r="G793" s="10"/>
      <c r="H793" s="10"/>
    </row>
    <row r="794">
      <c r="E794" s="10"/>
      <c r="F794" s="10"/>
      <c r="G794" s="10"/>
      <c r="H794" s="10"/>
    </row>
    <row r="795">
      <c r="E795" s="10"/>
      <c r="F795" s="10"/>
      <c r="G795" s="10"/>
      <c r="H795" s="10"/>
    </row>
    <row r="796">
      <c r="E796" s="10"/>
      <c r="F796" s="10"/>
      <c r="G796" s="10"/>
      <c r="H796" s="10"/>
    </row>
    <row r="797">
      <c r="E797" s="10"/>
      <c r="F797" s="10"/>
      <c r="G797" s="10"/>
      <c r="H797" s="10"/>
    </row>
    <row r="798">
      <c r="E798" s="10"/>
      <c r="F798" s="10"/>
      <c r="G798" s="10"/>
      <c r="H798" s="10"/>
    </row>
    <row r="799">
      <c r="E799" s="10"/>
      <c r="F799" s="10"/>
      <c r="G799" s="10"/>
      <c r="H799" s="10"/>
    </row>
    <row r="800">
      <c r="E800" s="10"/>
      <c r="F800" s="10"/>
      <c r="G800" s="10"/>
      <c r="H800" s="10"/>
    </row>
    <row r="801">
      <c r="E801" s="10"/>
      <c r="F801" s="10"/>
      <c r="G801" s="10"/>
      <c r="H801" s="10"/>
    </row>
    <row r="802">
      <c r="E802" s="10"/>
      <c r="F802" s="10"/>
      <c r="G802" s="10"/>
      <c r="H802" s="10"/>
    </row>
    <row r="803">
      <c r="E803" s="10"/>
      <c r="F803" s="10"/>
      <c r="G803" s="10"/>
      <c r="H803" s="10"/>
    </row>
    <row r="804">
      <c r="E804" s="10"/>
      <c r="F804" s="10"/>
      <c r="G804" s="10"/>
      <c r="H804" s="10"/>
    </row>
    <row r="805">
      <c r="E805" s="10"/>
      <c r="F805" s="10"/>
      <c r="G805" s="10"/>
      <c r="H805" s="10"/>
    </row>
    <row r="806">
      <c r="E806" s="10"/>
      <c r="F806" s="10"/>
      <c r="G806" s="10"/>
      <c r="H806" s="10"/>
    </row>
    <row r="807">
      <c r="E807" s="10"/>
      <c r="F807" s="10"/>
      <c r="G807" s="10"/>
      <c r="H807" s="10"/>
    </row>
    <row r="808">
      <c r="E808" s="10"/>
      <c r="F808" s="10"/>
      <c r="G808" s="10"/>
      <c r="H808" s="10"/>
    </row>
    <row r="809">
      <c r="E809" s="10"/>
      <c r="F809" s="10"/>
      <c r="G809" s="10"/>
      <c r="H809" s="10"/>
    </row>
    <row r="810">
      <c r="E810" s="10"/>
      <c r="F810" s="10"/>
      <c r="G810" s="10"/>
      <c r="H810" s="10"/>
    </row>
    <row r="811">
      <c r="E811" s="10"/>
      <c r="F811" s="10"/>
      <c r="G811" s="10"/>
      <c r="H811" s="10"/>
    </row>
    <row r="812">
      <c r="E812" s="10"/>
      <c r="F812" s="10"/>
      <c r="G812" s="10"/>
      <c r="H812" s="10"/>
    </row>
    <row r="813">
      <c r="E813" s="10"/>
      <c r="F813" s="10"/>
      <c r="G813" s="10"/>
      <c r="H813" s="10"/>
    </row>
    <row r="814">
      <c r="E814" s="10"/>
      <c r="F814" s="10"/>
      <c r="G814" s="10"/>
      <c r="H814" s="10"/>
    </row>
    <row r="815">
      <c r="E815" s="10"/>
      <c r="F815" s="10"/>
      <c r="G815" s="10"/>
      <c r="H815" s="10"/>
    </row>
    <row r="816">
      <c r="E816" s="10"/>
      <c r="F816" s="10"/>
      <c r="G816" s="10"/>
      <c r="H816" s="10"/>
    </row>
    <row r="817">
      <c r="E817" s="10"/>
      <c r="F817" s="10"/>
      <c r="G817" s="10"/>
      <c r="H817" s="10"/>
    </row>
    <row r="818">
      <c r="E818" s="10"/>
      <c r="F818" s="10"/>
      <c r="G818" s="10"/>
      <c r="H818" s="10"/>
    </row>
    <row r="819">
      <c r="E819" s="10"/>
      <c r="F819" s="10"/>
      <c r="G819" s="10"/>
      <c r="H819" s="10"/>
    </row>
    <row r="820">
      <c r="E820" s="10"/>
      <c r="F820" s="10"/>
      <c r="G820" s="10"/>
      <c r="H820" s="10"/>
    </row>
    <row r="821">
      <c r="E821" s="10"/>
      <c r="F821" s="10"/>
      <c r="G821" s="10"/>
      <c r="H821" s="10"/>
    </row>
    <row r="822">
      <c r="E822" s="10"/>
      <c r="F822" s="10"/>
      <c r="G822" s="10"/>
      <c r="H822" s="10"/>
    </row>
    <row r="823">
      <c r="E823" s="10"/>
      <c r="F823" s="10"/>
      <c r="G823" s="10"/>
      <c r="H823" s="10"/>
    </row>
    <row r="824">
      <c r="E824" s="10"/>
      <c r="F824" s="10"/>
      <c r="G824" s="10"/>
      <c r="H824" s="10"/>
    </row>
    <row r="825">
      <c r="E825" s="10"/>
      <c r="F825" s="10"/>
      <c r="G825" s="10"/>
      <c r="H825" s="10"/>
    </row>
    <row r="826">
      <c r="E826" s="10"/>
      <c r="F826" s="10"/>
      <c r="G826" s="10"/>
      <c r="H826" s="10"/>
    </row>
    <row r="827">
      <c r="E827" s="10"/>
      <c r="F827" s="10"/>
      <c r="G827" s="10"/>
      <c r="H827" s="10"/>
    </row>
    <row r="828">
      <c r="E828" s="10"/>
      <c r="F828" s="10"/>
      <c r="G828" s="10"/>
      <c r="H828" s="10"/>
    </row>
    <row r="829">
      <c r="E829" s="10"/>
      <c r="F829" s="10"/>
      <c r="G829" s="10"/>
      <c r="H829" s="10"/>
    </row>
    <row r="830">
      <c r="E830" s="10"/>
      <c r="F830" s="10"/>
      <c r="G830" s="10"/>
      <c r="H830" s="10"/>
    </row>
    <row r="831">
      <c r="E831" s="10"/>
      <c r="F831" s="10"/>
      <c r="G831" s="10"/>
      <c r="H831" s="10"/>
    </row>
    <row r="832">
      <c r="E832" s="10"/>
      <c r="F832" s="10"/>
      <c r="G832" s="10"/>
      <c r="H832" s="10"/>
    </row>
    <row r="833">
      <c r="E833" s="10"/>
      <c r="F833" s="10"/>
      <c r="G833" s="10"/>
      <c r="H833" s="10"/>
    </row>
    <row r="834">
      <c r="E834" s="10"/>
      <c r="F834" s="10"/>
      <c r="G834" s="10"/>
      <c r="H834" s="10"/>
    </row>
    <row r="835">
      <c r="E835" s="10"/>
      <c r="F835" s="10"/>
      <c r="G835" s="10"/>
      <c r="H835" s="10"/>
    </row>
    <row r="836">
      <c r="E836" s="10"/>
      <c r="F836" s="10"/>
      <c r="G836" s="10"/>
      <c r="H836" s="10"/>
    </row>
    <row r="837">
      <c r="E837" s="10"/>
      <c r="F837" s="10"/>
      <c r="G837" s="10"/>
      <c r="H837" s="10"/>
    </row>
    <row r="838">
      <c r="E838" s="10"/>
      <c r="F838" s="10"/>
      <c r="G838" s="10"/>
      <c r="H838" s="10"/>
    </row>
    <row r="839">
      <c r="E839" s="10"/>
      <c r="F839" s="10"/>
      <c r="G839" s="10"/>
      <c r="H839" s="10"/>
    </row>
    <row r="840">
      <c r="E840" s="10"/>
      <c r="F840" s="10"/>
      <c r="G840" s="10"/>
      <c r="H840" s="10"/>
    </row>
    <row r="841">
      <c r="E841" s="10"/>
      <c r="F841" s="10"/>
      <c r="G841" s="10"/>
      <c r="H841" s="10"/>
    </row>
    <row r="842">
      <c r="E842" s="10"/>
      <c r="F842" s="10"/>
      <c r="G842" s="10"/>
      <c r="H842" s="10"/>
    </row>
    <row r="843">
      <c r="E843" s="10"/>
      <c r="F843" s="10"/>
      <c r="G843" s="10"/>
      <c r="H843" s="10"/>
    </row>
    <row r="844">
      <c r="E844" s="10"/>
      <c r="F844" s="10"/>
      <c r="G844" s="10"/>
      <c r="H844" s="10"/>
    </row>
    <row r="845">
      <c r="E845" s="10"/>
      <c r="F845" s="10"/>
      <c r="G845" s="10"/>
      <c r="H845" s="10"/>
    </row>
    <row r="846">
      <c r="E846" s="10"/>
      <c r="F846" s="10"/>
      <c r="G846" s="10"/>
      <c r="H846" s="10"/>
    </row>
    <row r="847">
      <c r="E847" s="10"/>
      <c r="F847" s="10"/>
      <c r="G847" s="10"/>
      <c r="H847" s="10"/>
    </row>
    <row r="848">
      <c r="E848" s="10"/>
      <c r="F848" s="10"/>
      <c r="G848" s="10"/>
      <c r="H848" s="10"/>
    </row>
    <row r="849">
      <c r="E849" s="10"/>
      <c r="F849" s="10"/>
      <c r="G849" s="10"/>
      <c r="H849" s="10"/>
    </row>
    <row r="850">
      <c r="E850" s="10"/>
      <c r="F850" s="10"/>
      <c r="G850" s="10"/>
      <c r="H850" s="10"/>
    </row>
    <row r="851">
      <c r="E851" s="10"/>
      <c r="F851" s="10"/>
      <c r="G851" s="10"/>
      <c r="H851" s="10"/>
    </row>
    <row r="852">
      <c r="E852" s="10"/>
      <c r="F852" s="10"/>
      <c r="G852" s="10"/>
      <c r="H852" s="10"/>
    </row>
    <row r="853">
      <c r="E853" s="10"/>
      <c r="F853" s="10"/>
      <c r="G853" s="10"/>
      <c r="H853" s="10"/>
    </row>
    <row r="854">
      <c r="E854" s="10"/>
      <c r="F854" s="10"/>
      <c r="G854" s="10"/>
      <c r="H854" s="10"/>
    </row>
    <row r="855">
      <c r="E855" s="10"/>
      <c r="F855" s="10"/>
      <c r="G855" s="10"/>
      <c r="H855" s="10"/>
    </row>
    <row r="856">
      <c r="E856" s="10"/>
      <c r="F856" s="10"/>
      <c r="G856" s="10"/>
      <c r="H856" s="10"/>
    </row>
    <row r="857">
      <c r="E857" s="10"/>
      <c r="F857" s="10"/>
      <c r="G857" s="10"/>
      <c r="H857" s="10"/>
    </row>
    <row r="858">
      <c r="E858" s="10"/>
      <c r="F858" s="10"/>
      <c r="G858" s="10"/>
      <c r="H858" s="10"/>
    </row>
    <row r="859">
      <c r="E859" s="10"/>
      <c r="F859" s="10"/>
      <c r="G859" s="10"/>
      <c r="H859" s="10"/>
    </row>
    <row r="860">
      <c r="E860" s="10"/>
      <c r="F860" s="10"/>
      <c r="G860" s="10"/>
      <c r="H860" s="10"/>
    </row>
    <row r="861">
      <c r="E861" s="10"/>
      <c r="F861" s="10"/>
      <c r="G861" s="10"/>
      <c r="H861" s="10"/>
    </row>
    <row r="862">
      <c r="E862" s="10"/>
      <c r="F862" s="10"/>
      <c r="G862" s="10"/>
      <c r="H862" s="10"/>
    </row>
    <row r="863">
      <c r="E863" s="10"/>
      <c r="F863" s="10"/>
      <c r="G863" s="10"/>
      <c r="H863" s="10"/>
    </row>
    <row r="864">
      <c r="E864" s="10"/>
      <c r="F864" s="10"/>
      <c r="G864" s="10"/>
      <c r="H864" s="10"/>
    </row>
    <row r="865">
      <c r="E865" s="10"/>
      <c r="F865" s="10"/>
      <c r="G865" s="10"/>
      <c r="H865" s="10"/>
    </row>
    <row r="866">
      <c r="E866" s="10"/>
      <c r="F866" s="10"/>
      <c r="G866" s="10"/>
      <c r="H866" s="10"/>
    </row>
    <row r="867">
      <c r="E867" s="10"/>
      <c r="F867" s="10"/>
      <c r="G867" s="10"/>
      <c r="H867" s="10"/>
    </row>
    <row r="868">
      <c r="E868" s="10"/>
      <c r="F868" s="10"/>
      <c r="G868" s="10"/>
      <c r="H868" s="10"/>
    </row>
    <row r="869">
      <c r="E869" s="10"/>
      <c r="F869" s="10"/>
      <c r="G869" s="10"/>
      <c r="H869" s="10"/>
    </row>
    <row r="870">
      <c r="E870" s="10"/>
      <c r="F870" s="10"/>
      <c r="G870" s="10"/>
      <c r="H870" s="10"/>
    </row>
    <row r="871">
      <c r="E871" s="10"/>
      <c r="F871" s="10"/>
      <c r="G871" s="10"/>
      <c r="H871" s="10"/>
    </row>
    <row r="872">
      <c r="E872" s="10"/>
      <c r="F872" s="10"/>
      <c r="G872" s="10"/>
      <c r="H872" s="10"/>
    </row>
    <row r="873">
      <c r="E873" s="10"/>
      <c r="F873" s="10"/>
      <c r="G873" s="10"/>
      <c r="H873" s="10"/>
    </row>
    <row r="874">
      <c r="E874" s="10"/>
      <c r="F874" s="10"/>
      <c r="G874" s="10"/>
      <c r="H874" s="10"/>
    </row>
    <row r="875">
      <c r="E875" s="10"/>
      <c r="F875" s="10"/>
      <c r="G875" s="10"/>
      <c r="H875" s="10"/>
    </row>
    <row r="876">
      <c r="E876" s="10"/>
      <c r="F876" s="10"/>
      <c r="G876" s="10"/>
      <c r="H876" s="10"/>
    </row>
    <row r="877">
      <c r="E877" s="10"/>
      <c r="F877" s="10"/>
      <c r="G877" s="10"/>
      <c r="H877" s="10"/>
    </row>
    <row r="878">
      <c r="E878" s="10"/>
      <c r="F878" s="10"/>
      <c r="G878" s="10"/>
      <c r="H878" s="10"/>
    </row>
    <row r="879">
      <c r="E879" s="10"/>
      <c r="F879" s="10"/>
      <c r="G879" s="10"/>
      <c r="H879" s="10"/>
    </row>
    <row r="880">
      <c r="E880" s="10"/>
      <c r="F880" s="10"/>
      <c r="G880" s="10"/>
      <c r="H880" s="10"/>
    </row>
    <row r="881">
      <c r="E881" s="10"/>
      <c r="F881" s="10"/>
      <c r="G881" s="10"/>
      <c r="H881" s="10"/>
    </row>
    <row r="882">
      <c r="E882" s="10"/>
      <c r="F882" s="10"/>
      <c r="G882" s="10"/>
      <c r="H882" s="10"/>
    </row>
    <row r="883">
      <c r="E883" s="10"/>
      <c r="F883" s="10"/>
      <c r="G883" s="10"/>
      <c r="H883" s="10"/>
    </row>
    <row r="884">
      <c r="E884" s="10"/>
      <c r="F884" s="10"/>
      <c r="G884" s="10"/>
      <c r="H884" s="10"/>
    </row>
    <row r="885">
      <c r="E885" s="10"/>
      <c r="F885" s="10"/>
      <c r="G885" s="10"/>
      <c r="H885" s="10"/>
    </row>
    <row r="886">
      <c r="E886" s="10"/>
      <c r="F886" s="10"/>
      <c r="G886" s="10"/>
      <c r="H886" s="10"/>
    </row>
    <row r="887">
      <c r="E887" s="10"/>
      <c r="F887" s="10"/>
      <c r="G887" s="10"/>
      <c r="H887" s="10"/>
    </row>
    <row r="888">
      <c r="E888" s="10"/>
      <c r="F888" s="10"/>
      <c r="G888" s="10"/>
      <c r="H888" s="10"/>
    </row>
    <row r="889">
      <c r="E889" s="10"/>
      <c r="F889" s="10"/>
      <c r="G889" s="10"/>
      <c r="H889" s="10"/>
    </row>
    <row r="890">
      <c r="E890" s="10"/>
      <c r="F890" s="10"/>
      <c r="G890" s="10"/>
      <c r="H890" s="10"/>
    </row>
    <row r="891">
      <c r="E891" s="10"/>
      <c r="F891" s="10"/>
      <c r="G891" s="10"/>
      <c r="H891" s="10"/>
    </row>
    <row r="892">
      <c r="E892" s="10"/>
      <c r="F892" s="10"/>
      <c r="G892" s="10"/>
      <c r="H892" s="10"/>
    </row>
    <row r="893">
      <c r="E893" s="10"/>
      <c r="F893" s="10"/>
      <c r="G893" s="10"/>
      <c r="H893" s="10"/>
    </row>
    <row r="894">
      <c r="E894" s="10"/>
      <c r="F894" s="10"/>
      <c r="G894" s="10"/>
      <c r="H894" s="10"/>
    </row>
    <row r="895">
      <c r="E895" s="10"/>
      <c r="F895" s="10"/>
      <c r="G895" s="10"/>
      <c r="H895" s="10"/>
    </row>
    <row r="896">
      <c r="E896" s="10"/>
      <c r="F896" s="10"/>
      <c r="G896" s="10"/>
      <c r="H896" s="10"/>
    </row>
    <row r="897">
      <c r="E897" s="10"/>
      <c r="F897" s="10"/>
      <c r="G897" s="10"/>
      <c r="H897" s="10"/>
    </row>
    <row r="898">
      <c r="E898" s="10"/>
      <c r="F898" s="10"/>
      <c r="G898" s="10"/>
      <c r="H898" s="10"/>
    </row>
    <row r="899">
      <c r="E899" s="10"/>
      <c r="F899" s="10"/>
      <c r="G899" s="10"/>
      <c r="H899" s="10"/>
    </row>
    <row r="900">
      <c r="E900" s="10"/>
      <c r="F900" s="10"/>
      <c r="G900" s="10"/>
      <c r="H900" s="10"/>
    </row>
    <row r="901">
      <c r="E901" s="10"/>
      <c r="F901" s="10"/>
      <c r="G901" s="10"/>
      <c r="H901" s="10"/>
    </row>
    <row r="902">
      <c r="E902" s="10"/>
      <c r="F902" s="10"/>
      <c r="G902" s="10"/>
      <c r="H902" s="10"/>
    </row>
    <row r="903">
      <c r="E903" s="10"/>
      <c r="F903" s="10"/>
      <c r="G903" s="10"/>
      <c r="H903" s="10"/>
    </row>
    <row r="904">
      <c r="E904" s="10"/>
      <c r="F904" s="10"/>
      <c r="G904" s="10"/>
      <c r="H904" s="10"/>
    </row>
    <row r="905">
      <c r="E905" s="10"/>
      <c r="F905" s="10"/>
      <c r="G905" s="10"/>
      <c r="H905" s="10"/>
    </row>
    <row r="906">
      <c r="E906" s="10"/>
      <c r="F906" s="10"/>
      <c r="G906" s="10"/>
      <c r="H906" s="10"/>
    </row>
    <row r="907">
      <c r="E907" s="10"/>
      <c r="F907" s="10"/>
      <c r="G907" s="10"/>
      <c r="H907" s="10"/>
    </row>
    <row r="908">
      <c r="E908" s="10"/>
      <c r="F908" s="10"/>
      <c r="G908" s="10"/>
      <c r="H908" s="10"/>
    </row>
    <row r="909">
      <c r="E909" s="10"/>
      <c r="F909" s="10"/>
      <c r="G909" s="10"/>
      <c r="H909" s="10"/>
    </row>
    <row r="910">
      <c r="E910" s="10"/>
      <c r="F910" s="10"/>
      <c r="G910" s="10"/>
      <c r="H910" s="10"/>
    </row>
    <row r="911">
      <c r="E911" s="10"/>
      <c r="F911" s="10"/>
      <c r="G911" s="10"/>
      <c r="H911" s="10"/>
    </row>
    <row r="912">
      <c r="E912" s="10"/>
      <c r="F912" s="10"/>
      <c r="G912" s="10"/>
      <c r="H912" s="10"/>
    </row>
    <row r="913">
      <c r="E913" s="10"/>
      <c r="F913" s="10"/>
      <c r="G913" s="10"/>
      <c r="H913" s="10"/>
    </row>
    <row r="914">
      <c r="E914" s="10"/>
      <c r="F914" s="10"/>
      <c r="G914" s="10"/>
      <c r="H914" s="10"/>
    </row>
    <row r="915">
      <c r="E915" s="10"/>
      <c r="F915" s="10"/>
      <c r="G915" s="10"/>
      <c r="H915" s="10"/>
    </row>
    <row r="916">
      <c r="E916" s="10"/>
      <c r="F916" s="10"/>
      <c r="G916" s="10"/>
      <c r="H916" s="10"/>
    </row>
    <row r="917">
      <c r="E917" s="10"/>
      <c r="F917" s="10"/>
      <c r="G917" s="10"/>
      <c r="H917" s="10"/>
    </row>
    <row r="918">
      <c r="E918" s="10"/>
      <c r="F918" s="10"/>
      <c r="G918" s="10"/>
      <c r="H918" s="10"/>
    </row>
    <row r="919">
      <c r="E919" s="10"/>
      <c r="F919" s="10"/>
      <c r="G919" s="10"/>
      <c r="H919" s="10"/>
    </row>
    <row r="920">
      <c r="E920" s="10"/>
      <c r="F920" s="10"/>
      <c r="G920" s="10"/>
      <c r="H920" s="10"/>
    </row>
    <row r="921">
      <c r="E921" s="10"/>
      <c r="F921" s="10"/>
      <c r="G921" s="10"/>
      <c r="H921" s="10"/>
    </row>
    <row r="922">
      <c r="E922" s="10"/>
      <c r="F922" s="10"/>
      <c r="G922" s="10"/>
      <c r="H922" s="10"/>
    </row>
    <row r="923">
      <c r="E923" s="10"/>
      <c r="F923" s="10"/>
      <c r="G923" s="10"/>
      <c r="H923" s="10"/>
    </row>
    <row r="924">
      <c r="E924" s="10"/>
      <c r="F924" s="10"/>
      <c r="G924" s="10"/>
      <c r="H924" s="10"/>
    </row>
    <row r="925">
      <c r="E925" s="10"/>
      <c r="F925" s="10"/>
      <c r="G925" s="10"/>
      <c r="H925" s="10"/>
    </row>
    <row r="926">
      <c r="E926" s="10"/>
      <c r="F926" s="10"/>
      <c r="G926" s="10"/>
      <c r="H926" s="10"/>
    </row>
    <row r="927">
      <c r="E927" s="10"/>
      <c r="F927" s="10"/>
      <c r="G927" s="10"/>
      <c r="H927" s="10"/>
    </row>
    <row r="928">
      <c r="E928" s="10"/>
      <c r="F928" s="10"/>
      <c r="G928" s="10"/>
      <c r="H928" s="10"/>
    </row>
    <row r="929">
      <c r="E929" s="10"/>
      <c r="F929" s="10"/>
      <c r="G929" s="10"/>
      <c r="H929" s="10"/>
    </row>
    <row r="930">
      <c r="E930" s="10"/>
      <c r="F930" s="10"/>
      <c r="G930" s="10"/>
      <c r="H930" s="10"/>
    </row>
    <row r="931">
      <c r="E931" s="10"/>
      <c r="F931" s="10"/>
      <c r="G931" s="10"/>
      <c r="H931" s="10"/>
    </row>
    <row r="932">
      <c r="E932" s="10"/>
      <c r="F932" s="10"/>
      <c r="G932" s="10"/>
      <c r="H932" s="10"/>
    </row>
    <row r="933">
      <c r="E933" s="10"/>
      <c r="F933" s="10"/>
      <c r="G933" s="10"/>
      <c r="H933" s="10"/>
    </row>
    <row r="934">
      <c r="E934" s="10"/>
      <c r="F934" s="10"/>
      <c r="G934" s="10"/>
      <c r="H934" s="10"/>
    </row>
    <row r="935">
      <c r="E935" s="10"/>
      <c r="F935" s="10"/>
      <c r="G935" s="10"/>
      <c r="H935" s="10"/>
    </row>
    <row r="936">
      <c r="E936" s="10"/>
      <c r="F936" s="10"/>
      <c r="G936" s="10"/>
      <c r="H936" s="10"/>
    </row>
    <row r="937">
      <c r="E937" s="10"/>
      <c r="F937" s="10"/>
      <c r="G937" s="10"/>
      <c r="H937" s="10"/>
    </row>
    <row r="938">
      <c r="E938" s="10"/>
      <c r="F938" s="10"/>
      <c r="G938" s="10"/>
      <c r="H938" s="10"/>
    </row>
    <row r="939">
      <c r="E939" s="10"/>
      <c r="F939" s="10"/>
      <c r="G939" s="10"/>
      <c r="H939" s="10"/>
    </row>
    <row r="940">
      <c r="E940" s="10"/>
      <c r="F940" s="10"/>
      <c r="G940" s="10"/>
      <c r="H940" s="10"/>
    </row>
    <row r="941">
      <c r="E941" s="10"/>
      <c r="F941" s="10"/>
      <c r="G941" s="10"/>
      <c r="H941" s="10"/>
    </row>
    <row r="942">
      <c r="E942" s="10"/>
      <c r="F942" s="10"/>
      <c r="G942" s="10"/>
      <c r="H942" s="10"/>
    </row>
    <row r="943">
      <c r="E943" s="10"/>
      <c r="F943" s="10"/>
      <c r="G943" s="10"/>
      <c r="H943" s="10"/>
    </row>
    <row r="944">
      <c r="E944" s="10"/>
      <c r="F944" s="10"/>
      <c r="G944" s="10"/>
      <c r="H944" s="10"/>
    </row>
    <row r="945">
      <c r="E945" s="10"/>
      <c r="F945" s="10"/>
      <c r="G945" s="10"/>
      <c r="H945" s="10"/>
    </row>
    <row r="946">
      <c r="E946" s="10"/>
      <c r="F946" s="10"/>
      <c r="G946" s="10"/>
      <c r="H946" s="10"/>
    </row>
    <row r="947">
      <c r="E947" s="10"/>
      <c r="F947" s="10"/>
      <c r="G947" s="10"/>
      <c r="H947" s="10"/>
    </row>
    <row r="948">
      <c r="E948" s="10"/>
      <c r="F948" s="10"/>
      <c r="G948" s="10"/>
      <c r="H948" s="10"/>
    </row>
    <row r="949">
      <c r="E949" s="10"/>
      <c r="F949" s="10"/>
      <c r="G949" s="10"/>
      <c r="H949" s="10"/>
    </row>
    <row r="950">
      <c r="E950" s="10"/>
      <c r="F950" s="10"/>
      <c r="G950" s="10"/>
      <c r="H950" s="10"/>
    </row>
    <row r="951">
      <c r="E951" s="10"/>
      <c r="F951" s="10"/>
      <c r="G951" s="10"/>
      <c r="H951" s="10"/>
    </row>
    <row r="952">
      <c r="E952" s="10"/>
      <c r="F952" s="10"/>
      <c r="G952" s="10"/>
      <c r="H952" s="10"/>
    </row>
    <row r="953">
      <c r="E953" s="10"/>
      <c r="F953" s="10"/>
      <c r="G953" s="10"/>
      <c r="H953" s="10"/>
    </row>
    <row r="954">
      <c r="E954" s="10"/>
      <c r="F954" s="10"/>
      <c r="G954" s="10"/>
      <c r="H954" s="10"/>
    </row>
    <row r="955">
      <c r="E955" s="10"/>
      <c r="F955" s="10"/>
      <c r="G955" s="10"/>
      <c r="H955" s="10"/>
    </row>
    <row r="956">
      <c r="E956" s="10"/>
      <c r="F956" s="10"/>
      <c r="G956" s="10"/>
      <c r="H956" s="10"/>
    </row>
    <row r="957">
      <c r="E957" s="10"/>
      <c r="F957" s="10"/>
      <c r="G957" s="10"/>
      <c r="H957" s="10"/>
    </row>
    <row r="958">
      <c r="E958" s="10"/>
      <c r="F958" s="10"/>
      <c r="G958" s="10"/>
      <c r="H958" s="10"/>
    </row>
    <row r="959">
      <c r="E959" s="10"/>
      <c r="F959" s="10"/>
      <c r="G959" s="10"/>
      <c r="H959" s="10"/>
    </row>
    <row r="960">
      <c r="E960" s="10"/>
      <c r="F960" s="10"/>
      <c r="G960" s="10"/>
      <c r="H960" s="10"/>
    </row>
    <row r="961">
      <c r="E961" s="10"/>
      <c r="F961" s="10"/>
      <c r="G961" s="10"/>
      <c r="H961" s="10"/>
    </row>
    <row r="962">
      <c r="E962" s="10"/>
      <c r="F962" s="10"/>
      <c r="G962" s="10"/>
      <c r="H962" s="10"/>
    </row>
    <row r="963">
      <c r="E963" s="10"/>
      <c r="F963" s="10"/>
      <c r="G963" s="10"/>
      <c r="H963" s="10"/>
    </row>
    <row r="964">
      <c r="E964" s="10"/>
      <c r="F964" s="10"/>
      <c r="G964" s="10"/>
      <c r="H964" s="10"/>
    </row>
    <row r="965">
      <c r="E965" s="10"/>
      <c r="F965" s="10"/>
      <c r="G965" s="10"/>
      <c r="H965" s="10"/>
    </row>
    <row r="966">
      <c r="E966" s="10"/>
      <c r="F966" s="10"/>
      <c r="G966" s="10"/>
      <c r="H966" s="10"/>
    </row>
    <row r="967">
      <c r="E967" s="10"/>
      <c r="F967" s="10"/>
      <c r="G967" s="10"/>
      <c r="H967" s="10"/>
    </row>
    <row r="968">
      <c r="E968" s="10"/>
      <c r="F968" s="10"/>
      <c r="G968" s="10"/>
      <c r="H968" s="10"/>
    </row>
    <row r="969">
      <c r="E969" s="10"/>
      <c r="F969" s="10"/>
      <c r="G969" s="10"/>
      <c r="H969" s="10"/>
    </row>
    <row r="970">
      <c r="E970" s="10"/>
      <c r="F970" s="10"/>
      <c r="G970" s="10"/>
      <c r="H970" s="10"/>
    </row>
    <row r="971">
      <c r="E971" s="10"/>
      <c r="F971" s="10"/>
      <c r="G971" s="10"/>
      <c r="H971" s="10"/>
    </row>
    <row r="972">
      <c r="E972" s="10"/>
      <c r="F972" s="10"/>
      <c r="G972" s="10"/>
      <c r="H972" s="10"/>
    </row>
    <row r="973">
      <c r="E973" s="10"/>
      <c r="F973" s="10"/>
      <c r="G973" s="10"/>
      <c r="H973" s="10"/>
    </row>
    <row r="974">
      <c r="E974" s="10"/>
      <c r="F974" s="10"/>
      <c r="G974" s="10"/>
      <c r="H974" s="10"/>
    </row>
    <row r="975">
      <c r="E975" s="10"/>
      <c r="F975" s="10"/>
      <c r="G975" s="10"/>
      <c r="H975" s="10"/>
    </row>
    <row r="976">
      <c r="E976" s="10"/>
      <c r="F976" s="10"/>
      <c r="G976" s="10"/>
      <c r="H976" s="10"/>
    </row>
    <row r="977">
      <c r="E977" s="10"/>
      <c r="F977" s="10"/>
      <c r="G977" s="10"/>
      <c r="H977" s="10"/>
    </row>
    <row r="978">
      <c r="E978" s="10"/>
      <c r="F978" s="10"/>
      <c r="G978" s="10"/>
      <c r="H978" s="10"/>
    </row>
    <row r="979">
      <c r="E979" s="10"/>
      <c r="F979" s="10"/>
      <c r="G979" s="10"/>
      <c r="H979" s="10"/>
    </row>
    <row r="980">
      <c r="E980" s="10"/>
      <c r="F980" s="10"/>
      <c r="G980" s="10"/>
      <c r="H980" s="10"/>
    </row>
    <row r="981">
      <c r="E981" s="10"/>
      <c r="F981" s="10"/>
      <c r="G981" s="10"/>
      <c r="H981" s="10"/>
    </row>
    <row r="982">
      <c r="E982" s="10"/>
      <c r="F982" s="10"/>
      <c r="G982" s="10"/>
      <c r="H982" s="10"/>
    </row>
    <row r="983">
      <c r="E983" s="10"/>
      <c r="F983" s="10"/>
      <c r="G983" s="10"/>
      <c r="H983" s="10"/>
    </row>
    <row r="984">
      <c r="E984" s="10"/>
      <c r="F984" s="10"/>
      <c r="G984" s="10"/>
      <c r="H984" s="10"/>
    </row>
    <row r="985">
      <c r="E985" s="10"/>
      <c r="F985" s="10"/>
      <c r="G985" s="10"/>
      <c r="H985" s="10"/>
    </row>
    <row r="986">
      <c r="E986" s="10"/>
      <c r="F986" s="10"/>
      <c r="G986" s="10"/>
      <c r="H986" s="10"/>
    </row>
    <row r="987">
      <c r="E987" s="10"/>
      <c r="F987" s="10"/>
      <c r="G987" s="10"/>
      <c r="H987" s="10"/>
    </row>
    <row r="988">
      <c r="E988" s="10"/>
      <c r="F988" s="10"/>
      <c r="G988" s="10"/>
      <c r="H988" s="10"/>
    </row>
    <row r="989">
      <c r="E989" s="10"/>
      <c r="F989" s="10"/>
      <c r="G989" s="10"/>
      <c r="H989" s="10"/>
    </row>
    <row r="990">
      <c r="E990" s="10"/>
      <c r="F990" s="10"/>
      <c r="G990" s="10"/>
      <c r="H990" s="10"/>
    </row>
    <row r="991">
      <c r="E991" s="10"/>
      <c r="F991" s="10"/>
      <c r="G991" s="10"/>
      <c r="H991" s="10"/>
    </row>
    <row r="992">
      <c r="E992" s="10"/>
      <c r="F992" s="10"/>
      <c r="G992" s="10"/>
      <c r="H992" s="10"/>
    </row>
    <row r="993">
      <c r="E993" s="10"/>
      <c r="F993" s="10"/>
      <c r="G993" s="10"/>
      <c r="H993" s="10"/>
    </row>
    <row r="994">
      <c r="E994" s="10"/>
      <c r="F994" s="10"/>
      <c r="G994" s="10"/>
      <c r="H994" s="10"/>
    </row>
    <row r="995">
      <c r="E995" s="10"/>
      <c r="F995" s="10"/>
      <c r="G995" s="10"/>
      <c r="H995" s="10"/>
    </row>
    <row r="996">
      <c r="E996" s="10"/>
      <c r="F996" s="10"/>
      <c r="G996" s="10"/>
      <c r="H996" s="10"/>
    </row>
    <row r="997">
      <c r="E997" s="10"/>
      <c r="F997" s="10"/>
      <c r="G997" s="10"/>
      <c r="H997" s="10"/>
    </row>
    <row r="998">
      <c r="E998" s="10"/>
      <c r="F998" s="10"/>
      <c r="G998" s="10"/>
      <c r="H998" s="10"/>
    </row>
    <row r="999">
      <c r="E999" s="10"/>
      <c r="F999" s="10"/>
      <c r="G999" s="10"/>
      <c r="H999" s="10"/>
    </row>
    <row r="1000">
      <c r="E1000" s="10"/>
      <c r="F1000" s="10"/>
      <c r="G1000" s="10"/>
      <c r="H1000" s="10"/>
    </row>
    <row r="1001">
      <c r="E1001" s="10"/>
      <c r="F1001" s="10"/>
      <c r="G1001" s="10"/>
      <c r="H1001" s="10"/>
    </row>
  </sheetData>
  <drawing r:id="rId1"/>
</worksheet>
</file>